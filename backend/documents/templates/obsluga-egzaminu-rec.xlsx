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kty Programowanie\McMed\backend\documents\templates\"/>
    </mc:Choice>
  </mc:AlternateContent>
  <xr:revisionPtr revIDLastSave="0" documentId="8_{F6057209-C5B8-4801-82AD-B28EAA20D338}" xr6:coauthVersionLast="47" xr6:coauthVersionMax="47" xr10:uidLastSave="{00000000-0000-0000-0000-000000000000}"/>
  <bookViews>
    <workbookView xWindow="-120" yWindow="-120" windowWidth="29040" windowHeight="15720" tabRatio="890" activeTab="4" xr2:uid="{9C217465-FFEF-4105-8422-37CB5264C214}"/>
  </bookViews>
  <sheets>
    <sheet name="DANE " sheetId="1" r:id="rId1"/>
    <sheet name="EGZ Teoria" sheetId="2" r:id="rId2"/>
    <sheet name="EGZ praktyczny" sheetId="3" r:id="rId3"/>
    <sheet name="EGZ ZBIORCZY" sheetId="4" r:id="rId4"/>
    <sheet name="Arkusz1" sheetId="5" r:id="rId5"/>
  </sheets>
  <definedNames>
    <definedName name="_xlnm.Print_Area" localSheetId="0">'DANE '!$A$2:$J$28</definedName>
    <definedName name="_xlnm.Print_Area" localSheetId="3">'EGZ ZBIORCZY'!$A$1:$G$39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5" l="1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D9" i="5"/>
  <c r="D10" i="5"/>
  <c r="D11" i="5"/>
  <c r="D12" i="5"/>
  <c r="D13" i="5"/>
  <c r="D14" i="5"/>
  <c r="B8" i="3"/>
  <c r="C8" i="3"/>
  <c r="B9" i="3"/>
  <c r="C9" i="3"/>
  <c r="B10" i="3"/>
  <c r="C10" i="3"/>
  <c r="B11" i="3"/>
  <c r="C11" i="3"/>
  <c r="B12" i="3"/>
  <c r="C12" i="3"/>
  <c r="B13" i="3"/>
  <c r="C13" i="3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D15" i="5"/>
  <c r="B16" i="5"/>
  <c r="C16" i="5"/>
  <c r="D16" i="5"/>
  <c r="B17" i="5"/>
  <c r="C17" i="5"/>
  <c r="D17" i="5"/>
  <c r="B18" i="5"/>
  <c r="C18" i="5"/>
  <c r="D18" i="5"/>
  <c r="B19" i="5"/>
  <c r="C19" i="5"/>
  <c r="D19" i="5"/>
  <c r="B20" i="5"/>
  <c r="C20" i="5"/>
  <c r="D20" i="5"/>
  <c r="B21" i="5"/>
  <c r="C21" i="5"/>
  <c r="D21" i="5"/>
  <c r="B22" i="5"/>
  <c r="C22" i="5"/>
  <c r="D22" i="5"/>
  <c r="B23" i="5"/>
  <c r="C23" i="5"/>
  <c r="D23" i="5"/>
  <c r="B24" i="5"/>
  <c r="C24" i="5"/>
  <c r="D24" i="5"/>
  <c r="B25" i="5"/>
  <c r="C25" i="5"/>
  <c r="D25" i="5"/>
  <c r="B26" i="5"/>
  <c r="C26" i="5"/>
  <c r="D26" i="5"/>
  <c r="B27" i="5"/>
  <c r="C27" i="5"/>
  <c r="D27" i="5"/>
  <c r="B28" i="5"/>
  <c r="C28" i="5"/>
  <c r="D28" i="5"/>
  <c r="B29" i="5"/>
  <c r="C29" i="5"/>
  <c r="D29" i="5"/>
  <c r="B30" i="5"/>
  <c r="C30" i="5"/>
  <c r="D30" i="5"/>
  <c r="B31" i="5"/>
  <c r="C31" i="5"/>
  <c r="D31" i="5"/>
  <c r="B32" i="5"/>
  <c r="C32" i="5"/>
  <c r="D32" i="5"/>
  <c r="B33" i="5"/>
  <c r="C33" i="5"/>
  <c r="D33" i="5"/>
  <c r="H4" i="3"/>
  <c r="B7" i="3"/>
  <c r="C7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F4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</calcChain>
</file>

<file path=xl/sharedStrings.xml><?xml version="1.0" encoding="utf-8"?>
<sst xmlns="http://schemas.openxmlformats.org/spreadsheetml/2006/main" count="226" uniqueCount="111">
  <si>
    <t>dzień</t>
  </si>
  <si>
    <t>data</t>
  </si>
  <si>
    <t>L.P.</t>
  </si>
  <si>
    <t>Nazwisko</t>
  </si>
  <si>
    <t xml:space="preserve">Imię </t>
  </si>
  <si>
    <t xml:space="preserve">TEL. </t>
  </si>
  <si>
    <t>Mama papier</t>
  </si>
  <si>
    <t>Kod pocztowy</t>
  </si>
  <si>
    <t>Miejscowość</t>
  </si>
  <si>
    <t>PESEL</t>
  </si>
  <si>
    <t>numer zaświadczenia</t>
  </si>
  <si>
    <t>data wystawienia</t>
  </si>
  <si>
    <t>I</t>
  </si>
  <si>
    <t>-</t>
  </si>
  <si>
    <t>01</t>
  </si>
  <si>
    <t>27.08.2023</t>
  </si>
  <si>
    <t>II</t>
  </si>
  <si>
    <t>02</t>
  </si>
  <si>
    <t>III</t>
  </si>
  <si>
    <t>03</t>
  </si>
  <si>
    <t>IV</t>
  </si>
  <si>
    <t>04</t>
  </si>
  <si>
    <t>V</t>
  </si>
  <si>
    <t>05</t>
  </si>
  <si>
    <t>VI</t>
  </si>
  <si>
    <t>06</t>
  </si>
  <si>
    <t>Egzamin</t>
  </si>
  <si>
    <t>07</t>
  </si>
  <si>
    <t>..</t>
  </si>
  <si>
    <t>08</t>
  </si>
  <si>
    <t>Przewodniczący</t>
  </si>
  <si>
    <t>M. Świerszcz</t>
  </si>
  <si>
    <t>09</t>
  </si>
  <si>
    <t>Członek</t>
  </si>
  <si>
    <t>M. KLISIATYS</t>
  </si>
  <si>
    <t>10</t>
  </si>
  <si>
    <t>P. Karpiński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</si>
  <si>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</si>
  <si>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</si>
  <si>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</si>
  <si>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</si>
  <si>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</si>
  <si>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</si>
  <si>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</si>
  <si>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</si>
  <si>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</si>
  <si>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</si>
  <si>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</si>
  <si>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</si>
  <si>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</si>
  <si>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</si>
  <si>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</si>
  <si>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</si>
  <si>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</si>
  <si>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KARTA OCENY EGZAMINU TEORETYCZNEGO</t>
  </si>
  <si>
    <t>DATA</t>
  </si>
  <si>
    <t>Lp.</t>
  </si>
  <si>
    <t>I podejście</t>
  </si>
  <si>
    <t>II podejście</t>
  </si>
  <si>
    <t>Ocena Końcowa</t>
  </si>
  <si>
    <t>27/30</t>
  </si>
  <si>
    <t>29/30</t>
  </si>
  <si>
    <t>30/30</t>
  </si>
  <si>
    <t>Oceny:2;3;3,5;4;4,5;5</t>
  </si>
  <si>
    <t>…..............................................................................................................................................</t>
  </si>
  <si>
    <t>Przewodniczący Komisji Egzaminacyjnej</t>
  </si>
  <si>
    <t>Egzaminator</t>
  </si>
  <si>
    <t>KARTA OCENY EGZAMINU PRAKTYCZNEGO</t>
  </si>
  <si>
    <t>RKO</t>
  </si>
  <si>
    <t>ZAD. 1</t>
  </si>
  <si>
    <t>ZAD. 2</t>
  </si>
  <si>
    <t>OCENA KOŃCOWA</t>
  </si>
  <si>
    <t>Oceny:2;3;3.5;4;4.5;5</t>
  </si>
  <si>
    <t>…....................................................................................................................................................................................</t>
  </si>
  <si>
    <t>KARTA OCENY EGZAMINU</t>
  </si>
  <si>
    <t>Data</t>
  </si>
  <si>
    <t>24.05.2026</t>
  </si>
  <si>
    <t>Imię, Nazwisko</t>
  </si>
  <si>
    <r>
      <t xml:space="preserve">M. Świerszcz
</t>
    </r>
    <r>
      <rPr>
        <sz val="8"/>
        <color indexed="8"/>
        <rFont val="Arial"/>
        <family val="2"/>
        <charset val="238"/>
      </rPr>
      <t>przewodniczący komisji</t>
    </r>
  </si>
  <si>
    <t>M. Klisiatys</t>
  </si>
  <si>
    <t>Zestawienie do sprawozdania</t>
  </si>
  <si>
    <t>nr przedkłądanego zaświadczenia</t>
  </si>
  <si>
    <t>Data egzaminu przedkładanego zaświadczenia</t>
  </si>
  <si>
    <t>Nr wydanego zaświadczenia</t>
  </si>
  <si>
    <t>data wydanego
zaświadczenia</t>
  </si>
  <si>
    <t>KPP/ER/05/26/</t>
  </si>
  <si>
    <t>R. Świerszcz</t>
  </si>
  <si>
    <t>01.07.2026</t>
  </si>
  <si>
    <t xml:space="preserve"> </t>
  </si>
  <si>
    <t>Kamińska-Wierzchowska</t>
  </si>
  <si>
    <t>Karolina</t>
  </si>
  <si>
    <t>82070517008</t>
  </si>
  <si>
    <t>Faber</t>
  </si>
  <si>
    <t>Ewelina</t>
  </si>
  <si>
    <t>84022217905</t>
  </si>
  <si>
    <t>Łukowska</t>
  </si>
  <si>
    <t>Monika</t>
  </si>
  <si>
    <t>78030915225</t>
  </si>
  <si>
    <t>Niemiro</t>
  </si>
  <si>
    <t>Maciej</t>
  </si>
  <si>
    <t>85020717794</t>
  </si>
  <si>
    <t>Kiela</t>
  </si>
  <si>
    <t>Kamil</t>
  </si>
  <si>
    <t>82072214071</t>
  </si>
  <si>
    <t>KPPE/OSP/14/2023/11/1.</t>
  </si>
  <si>
    <t>31.08.2023</t>
  </si>
  <si>
    <t>KPP/R/06/23/04</t>
  </si>
  <si>
    <t>71/2023</t>
  </si>
  <si>
    <t>26.09.2023</t>
  </si>
  <si>
    <t>KPP/07/23/01</t>
  </si>
  <si>
    <t>01.10.2023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</si>
</sst>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zł-415];[Red]\-#,##0.00\ [$zł-415]"/>
    <numFmt numFmtId="165" formatCode="d\.mm\.yyyy"/>
  </numFmts>
  <fonts count="14" x14ac:knownFonts="1">
    <font>
      <sz val="11"/>
      <color indexed="8"/>
      <name val="Arial"/>
      <family val="2"/>
      <charset val="238"/>
    </font>
    <font>
      <b/>
      <i/>
      <sz val="16"/>
      <color indexed="8"/>
      <name val="Arial"/>
      <family val="2"/>
      <charset val="238"/>
    </font>
    <font>
      <b/>
      <i/>
      <u/>
      <sz val="11"/>
      <color indexed="8"/>
      <name val="Arial"/>
      <family val="2"/>
      <charset val="238"/>
    </font>
    <font>
      <sz val="10"/>
      <color indexed="8"/>
      <name val="Arial"/>
      <family val="2"/>
      <charset val="238"/>
    </font>
    <font>
      <sz val="12"/>
      <color indexed="8"/>
      <name val="Times New Roman"/>
      <family val="1"/>
      <charset val="238"/>
    </font>
    <font>
      <sz val="10"/>
      <color indexed="63"/>
      <name val="Times New Roman"/>
      <family val="1"/>
      <charset val="238"/>
    </font>
    <font>
      <u/>
      <sz val="11"/>
      <color indexed="30"/>
      <name val="Times New Roman"/>
      <family val="1"/>
      <charset val="238"/>
    </font>
    <font>
      <u/>
      <sz val="11"/>
      <color indexed="30"/>
      <name val="Arial"/>
      <family val="2"/>
      <charset val="238"/>
    </font>
    <font>
      <sz val="10"/>
      <color indexed="8"/>
      <name val="Times New Roman"/>
      <family val="1"/>
      <charset val="238"/>
    </font>
    <font>
      <sz val="8"/>
      <color indexed="8"/>
      <name val="Arial"/>
      <family val="2"/>
      <charset val="238"/>
    </font>
    <font>
      <sz val="10"/>
      <color indexed="63"/>
      <name val="Roboto"/>
      <charset val="238"/>
    </font>
    <font>
      <sz val="11"/>
      <color indexed="8"/>
      <name val="Times New Roman"/>
      <family val="1"/>
      <charset val="238"/>
    </font>
    <font>
      <strike/>
      <sz val="11"/>
      <color indexed="8"/>
      <name val="Arial"/>
      <family val="2"/>
      <charset val="238"/>
    </font>
    <font>
      <sz val="9"/>
      <color indexed="8"/>
      <name val="Arial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</fills>
  <borders count="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</borders>
  <cellStyleXfs count="6">
    <xf numFmtId="0" fontId="0" fillId="0" borderId="0"/>
    <xf numFmtId="0" fontId="1" fillId="0" borderId="0">
      <alignment horizontal="center"/>
    </xf>
    <xf numFmtId="0" fontId="1" fillId="0" borderId="0">
      <alignment horizontal="center" textRotation="90"/>
    </xf>
    <xf numFmtId="0" fontId="7" fillId="0" borderId="0" applyNumberFormat="0" applyFill="0" applyBorder="0" applyAlignment="0" applyProtection="0"/>
    <xf numFmtId="0" fontId="2" fillId="0" borderId="0"/>
    <xf numFmtId="164" fontId="2" fillId="0" borderId="0"/>
  </cellStyleXfs>
  <cellXfs count="68">
    <xf numFmtId="0" fontId="0" fillId="0" borderId="0" xfId="0"/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shrinkToFit="1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vertical="center"/>
    </xf>
    <xf numFmtId="49" fontId="0" fillId="0" borderId="1" xfId="0" applyNumberFormat="1" applyBorder="1" applyAlignment="1">
      <alignment horizontal="center" vertical="center" shrinkToFi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 shrinkToFit="1"/>
    </xf>
    <xf numFmtId="0" fontId="0" fillId="0" borderId="1" xfId="0" applyFont="1" applyBorder="1" applyAlignment="1">
      <alignment vertical="center"/>
    </xf>
    <xf numFmtId="165" fontId="0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/>
    </xf>
    <xf numFmtId="49" fontId="6" fillId="0" borderId="1" xfId="3" applyNumberFormat="1" applyFont="1" applyFill="1" applyBorder="1" applyAlignment="1" applyProtection="1">
      <alignment horizontal="center" wrapText="1"/>
    </xf>
    <xf numFmtId="165" fontId="0" fillId="2" borderId="0" xfId="0" applyNumberFormat="1" applyFont="1" applyFill="1" applyAlignment="1">
      <alignment horizontal="center" vertical="center"/>
    </xf>
    <xf numFmtId="49" fontId="8" fillId="0" borderId="1" xfId="0" applyNumberFormat="1" applyFont="1" applyBorder="1" applyAlignment="1">
      <alignment horizontal="center" wrapText="1"/>
    </xf>
    <xf numFmtId="14" fontId="0" fillId="0" borderId="0" xfId="0" applyNumberFormat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wrapText="1"/>
    </xf>
    <xf numFmtId="0" fontId="0" fillId="0" borderId="0" xfId="0" applyAlignment="1">
      <alignment vertical="center"/>
    </xf>
    <xf numFmtId="14" fontId="0" fillId="0" borderId="0" xfId="0" applyNumberFormat="1"/>
    <xf numFmtId="0" fontId="0" fillId="0" borderId="1" xfId="0" applyFont="1" applyBorder="1"/>
    <xf numFmtId="0" fontId="1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Border="1"/>
    <xf numFmtId="0" fontId="0" fillId="0" borderId="0" xfId="0" applyFill="1" applyBorder="1"/>
    <xf numFmtId="49" fontId="0" fillId="0" borderId="0" xfId="0" applyNumberFormat="1" applyFont="1" applyAlignment="1">
      <alignment horizontal="right"/>
    </xf>
    <xf numFmtId="0" fontId="0" fillId="0" borderId="2" xfId="0" applyFont="1" applyBorder="1"/>
    <xf numFmtId="0" fontId="0" fillId="0" borderId="1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0" fillId="0" borderId="1" xfId="0" applyFill="1" applyBorder="1"/>
    <xf numFmtId="0" fontId="0" fillId="0" borderId="2" xfId="0" applyFill="1" applyBorder="1"/>
    <xf numFmtId="0" fontId="0" fillId="0" borderId="0" xfId="0" applyAlignment="1">
      <alignment horizontal="right"/>
    </xf>
    <xf numFmtId="0" fontId="0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13" fillId="0" borderId="2" xfId="0" applyFont="1" applyFill="1" applyBorder="1" applyAlignment="1">
      <alignment horizontal="center" vertical="center" wrapText="1"/>
    </xf>
    <xf numFmtId="0" fontId="0" fillId="0" borderId="1" xfId="3" applyNumberFormat="1" applyFont="1" applyFill="1" applyBorder="1" applyAlignment="1" applyProtection="1">
      <alignment horizontal="center" wrapText="1"/>
    </xf>
    <xf numFmtId="49" fontId="3" fillId="0" borderId="4" xfId="0" applyNumberFormat="1" applyFont="1" applyBorder="1" applyAlignment="1">
      <alignment horizontal="right" vertical="center" wrapText="1"/>
    </xf>
    <xf numFmtId="49" fontId="3" fillId="0" borderId="5" xfId="0" applyNumberFormat="1" applyFont="1" applyBorder="1" applyAlignment="1">
      <alignment horizontal="left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49" fontId="0" fillId="0" borderId="0" xfId="0" applyNumberFormat="1"/>
    <xf numFmtId="14" fontId="0" fillId="0" borderId="1" xfId="3" applyNumberFormat="1" applyFont="1" applyFill="1" applyBorder="1" applyAlignment="1" applyProtection="1">
      <alignment horizontal="center" wrapText="1"/>
    </xf>
    <xf numFmtId="0" fontId="0" fillId="0" borderId="0" xfId="0" applyFont="1" applyBorder="1" applyAlignment="1">
      <alignment horizontal="center" vertical="center"/>
    </xf>
    <xf numFmtId="0" fontId="0" fillId="3" borderId="0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ont="1" applyBorder="1" applyAlignment="1">
      <alignment horizontal="center"/>
    </xf>
    <xf numFmtId="0" fontId="0" fillId="0" borderId="6" xfId="0" applyFont="1" applyBorder="1" applyAlignment="1">
      <alignment horizontal="left"/>
    </xf>
    <xf numFmtId="0" fontId="0" fillId="0" borderId="0" xfId="0" applyFill="1" applyBorder="1"/>
    <xf numFmtId="0" fontId="0" fillId="0" borderId="1" xfId="0" applyFont="1" applyFill="1" applyBorder="1"/>
    <xf numFmtId="0" fontId="0" fillId="0" borderId="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</cellXfs>
  <cellStyles count="6">
    <cellStyle name="Heading" xfId="1" xr:uid="{5A3A2B36-AFA7-41F0-A965-3B1B37B68D19}"/>
    <cellStyle name="Heading1" xfId="2" xr:uid="{579CAF3F-0B22-413A-8F77-207A19D7959E}"/>
    <cellStyle name="Hiperłącze" xfId="3" builtinId="8"/>
    <cellStyle name="Normalny" xfId="0" builtinId="0"/>
    <cellStyle name="Result" xfId="4" xr:uid="{1C9F5BED-DC6B-46DE-BB33-9A03DDFBB6D1}"/>
    <cellStyle name="Result2" xfId="5" xr:uid="{A4D0410B-B935-459B-8F67-20BAED9ABCA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37486-40DD-45E5-A274-51D17995F105}">
  <sheetPr>
    <pageSetUpPr fitToPage="1"/>
  </sheetPr>
  <dimension ref="A1:O29"/>
  <sheetViews>
    <sheetView zoomScale="69" zoomScaleNormal="69" workbookViewId="0">
      <selection activeCell="N9" sqref="N9"/>
    </sheetView>
  </sheetViews>
  <sheetFormatPr defaultColWidth="10.75" defaultRowHeight="21.4" customHeight="1" x14ac:dyDescent="0.2"/>
  <cols>
    <col min="1" max="1" width="4.625" style="1" customWidth="1"/>
    <col min="2" max="2" width="26.5" style="2" customWidth="1"/>
    <col min="3" max="4" width="25.75" style="2" customWidth="1"/>
    <col min="5" max="5" width="12.875" style="1" customWidth="1"/>
    <col min="6" max="7" width="0" style="2" hidden="1" customWidth="1"/>
    <col min="8" max="8" width="39.625" style="3" customWidth="1"/>
    <col min="9" max="9" width="30.75" style="1" customWidth="1"/>
    <col min="10" max="10" width="23.75" style="3" customWidth="1"/>
    <col min="11" max="16384" width="10.75" style="2"/>
  </cols>
  <sheetData>
    <row r="1" spans="1:15" ht="14.25" customHeight="1" x14ac:dyDescent="0.2">
      <c r="A1" s="4"/>
      <c r="B1" s="5"/>
      <c r="C1" s="5"/>
      <c r="D1" s="5"/>
      <c r="E1" s="6"/>
      <c r="F1" s="5"/>
      <c r="G1" s="5"/>
      <c r="H1" s="7"/>
      <c r="I1" s="8"/>
      <c r="J1" s="9"/>
      <c r="M1" s="2" t="s">
        <v>0</v>
      </c>
      <c r="N1" s="2" t="s">
        <v>1</v>
      </c>
    </row>
    <row r="2" spans="1:15" ht="21.4" customHeight="1" x14ac:dyDescent="0.2">
      <c r="A2" s="8" t="s">
        <v>2</v>
      </c>
      <c r="B2" s="10" t="s">
        <v>3</v>
      </c>
      <c r="C2" s="10" t="s">
        <v>4</v>
      </c>
      <c r="D2" s="10" t="s">
        <v>5</v>
      </c>
      <c r="E2" s="8" t="s">
        <v>6</v>
      </c>
      <c r="F2" s="5" t="s">
        <v>7</v>
      </c>
      <c r="G2" s="5" t="s">
        <v>8</v>
      </c>
      <c r="H2" s="7" t="s">
        <v>9</v>
      </c>
      <c r="I2" s="8" t="s">
        <v>10</v>
      </c>
      <c r="J2" s="7" t="s">
        <v>11</v>
      </c>
      <c r="M2" s="2" t="s">
        <v>12</v>
      </c>
      <c r="N2" s="11" t="s">
        <v>13</v>
      </c>
    </row>
    <row r="3" spans="1:15" ht="21.4" customHeight="1" x14ac:dyDescent="0.25">
      <c r="A3" s="8" t="s">
        <v>14</v>
      </c>
      <c r="B3" t="s">
        <v>89</v>
      </c>
      <c r="C3" t="s">
        <v>90</v>
      </c>
      <c r="E3" s="8"/>
      <c r="F3" s="8"/>
      <c r="G3" s="13"/>
      <c r="H3" s="55" t="s">
        <v>91</v>
      </c>
      <c r="I3" s="15"/>
      <c r="J3" s="16"/>
      <c r="M3" s="2" t="s">
        <v>16</v>
      </c>
      <c r="N3" s="17" t="s">
        <v>13</v>
      </c>
    </row>
    <row r="4" spans="1:15" ht="21.4" customHeight="1" x14ac:dyDescent="0.2">
      <c r="A4" s="8" t="s">
        <v>17</v>
      </c>
      <c r="B4" t="s">
        <v>92</v>
      </c>
      <c r="C4" t="s">
        <v>93</v>
      </c>
      <c r="E4" s="8"/>
      <c r="F4" s="8"/>
      <c r="G4" s="13"/>
      <c r="H4" s="55" t="s">
        <v>94</v>
      </c>
      <c r="I4" s="18" t="s">
        <v>109</v>
      </c>
      <c r="J4" s="18" t="s">
        <v>110</v>
      </c>
      <c r="M4" s="2" t="s">
        <v>18</v>
      </c>
      <c r="N4" s="17" t="s">
        <v>13</v>
      </c>
      <c r="O4" s="19"/>
    </row>
    <row r="5" spans="1:15" ht="21.4" customHeight="1" x14ac:dyDescent="0.2">
      <c r="A5" s="8" t="s">
        <v>19</v>
      </c>
      <c r="B5" t="s">
        <v>95</v>
      </c>
      <c r="C5" t="s">
        <v>96</v>
      </c>
      <c r="E5" s="8"/>
      <c r="F5" s="8"/>
      <c r="G5" s="13"/>
      <c r="H5" s="55" t="s">
        <v>97</v>
      </c>
      <c r="I5" s="20" t="s">
        <v>107</v>
      </c>
      <c r="J5" s="18" t="s">
        <v>108</v>
      </c>
      <c r="M5" s="2" t="s">
        <v>20</v>
      </c>
      <c r="N5" s="17" t="s">
        <v>13</v>
      </c>
      <c r="O5" s="19"/>
    </row>
    <row r="6" spans="1:15" ht="21.4" customHeight="1" x14ac:dyDescent="0.2">
      <c r="A6" s="8" t="s">
        <v>21</v>
      </c>
      <c r="B6" t="s">
        <v>98</v>
      </c>
      <c r="C6" t="s">
        <v>99</v>
      </c>
      <c r="E6" s="8"/>
      <c r="F6" s="8"/>
      <c r="G6" s="13"/>
      <c r="H6" s="55" t="s">
        <v>100</v>
      </c>
      <c r="I6" s="18" t="s">
        <v>104</v>
      </c>
      <c r="J6" s="18" t="s">
        <v>105</v>
      </c>
      <c r="M6" s="2" t="s">
        <v>22</v>
      </c>
      <c r="N6" s="17" t="s">
        <v>13</v>
      </c>
      <c r="O6" s="19"/>
    </row>
    <row r="7" spans="1:15" ht="21.4" customHeight="1" x14ac:dyDescent="0.2">
      <c r="A7" s="8" t="s">
        <v>23</v>
      </c>
      <c r="B7" t="s">
        <v>101</v>
      </c>
      <c r="C7" t="s">
        <v>102</v>
      </c>
      <c r="E7" s="8"/>
      <c r="F7" s="8"/>
      <c r="G7" s="13"/>
      <c r="H7" s="55" t="s">
        <v>103</v>
      </c>
      <c r="I7" s="20" t="s">
        <v>106</v>
      </c>
      <c r="J7" s="18" t="s">
        <v>15</v>
      </c>
      <c r="M7" s="2" t="s">
        <v>24</v>
      </c>
      <c r="N7" s="17" t="s">
        <v>13</v>
      </c>
      <c r="O7" s="19"/>
    </row>
    <row r="8" spans="1:15" ht="21.4" customHeight="1" x14ac:dyDescent="0.2">
      <c r="A8" s="8" t="s">
        <v>25</v>
      </c>
      <c r="B8" s="12"/>
      <c r="C8" s="12"/>
      <c r="D8" s="12"/>
      <c r="E8" s="8"/>
      <c r="F8" s="8"/>
      <c r="G8" s="13"/>
      <c r="H8" s="14"/>
      <c r="I8" s="15"/>
      <c r="J8" s="18"/>
      <c r="M8" s="2" t="s">
        <v>26</v>
      </c>
      <c r="N8" s="17">
        <v>46261</v>
      </c>
    </row>
    <row r="9" spans="1:15" ht="21.4" customHeight="1" x14ac:dyDescent="0.2">
      <c r="A9" s="8" t="s">
        <v>27</v>
      </c>
      <c r="B9" s="12"/>
      <c r="C9" s="12"/>
      <c r="D9" s="12"/>
      <c r="E9" s="8"/>
      <c r="F9" s="8"/>
      <c r="G9" s="13"/>
      <c r="H9" s="14"/>
      <c r="I9" s="15"/>
      <c r="J9" s="18"/>
      <c r="M9" s="2" t="s">
        <v>28</v>
      </c>
    </row>
    <row r="10" spans="1:15" ht="21.4" customHeight="1" x14ac:dyDescent="0.2">
      <c r="A10" s="8" t="s">
        <v>29</v>
      </c>
      <c r="B10" s="12"/>
      <c r="C10" s="12"/>
      <c r="D10" s="12"/>
      <c r="E10" s="8"/>
      <c r="F10" s="8"/>
      <c r="G10" s="13"/>
      <c r="H10" s="21"/>
      <c r="I10" s="15"/>
      <c r="J10" s="18"/>
      <c r="L10" s="22" t="s">
        <v>30</v>
      </c>
      <c r="M10" s="57" t="s">
        <v>31</v>
      </c>
      <c r="N10" s="57"/>
    </row>
    <row r="11" spans="1:15" ht="21.4" customHeight="1" x14ac:dyDescent="0.2">
      <c r="A11" s="8" t="s">
        <v>32</v>
      </c>
      <c r="B11" s="12"/>
      <c r="C11" s="12"/>
      <c r="D11" s="12"/>
      <c r="E11" s="8"/>
      <c r="F11" s="8"/>
      <c r="G11" s="13"/>
      <c r="H11" s="21"/>
      <c r="I11" s="15"/>
      <c r="J11" s="18"/>
      <c r="L11" s="2" t="s">
        <v>33</v>
      </c>
      <c r="M11" s="57" t="s">
        <v>34</v>
      </c>
      <c r="N11" s="57"/>
    </row>
    <row r="12" spans="1:15" ht="21.4" customHeight="1" x14ac:dyDescent="0.2">
      <c r="A12" s="8" t="s">
        <v>35</v>
      </c>
      <c r="B12" s="12"/>
      <c r="C12" s="12"/>
      <c r="D12" s="12"/>
      <c r="E12" s="8"/>
      <c r="F12" s="8"/>
      <c r="G12" s="13"/>
      <c r="H12" s="14"/>
      <c r="I12" s="18"/>
      <c r="J12" s="18"/>
      <c r="L12" s="2" t="s">
        <v>33</v>
      </c>
      <c r="M12" s="58" t="s">
        <v>36</v>
      </c>
      <c r="N12" s="58"/>
    </row>
    <row r="13" spans="1:15" ht="21.4" customHeight="1" x14ac:dyDescent="0.2">
      <c r="A13" s="8" t="s">
        <v>37</v>
      </c>
      <c r="B13" s="12"/>
      <c r="C13" s="23"/>
      <c r="D13" s="23"/>
      <c r="E13" s="8"/>
      <c r="F13" s="24"/>
      <c r="G13" s="25"/>
      <c r="H13" s="14"/>
      <c r="I13" s="18"/>
      <c r="J13" s="18"/>
    </row>
    <row r="14" spans="1:15" ht="21.4" customHeight="1" x14ac:dyDescent="0.2">
      <c r="A14" s="8" t="s">
        <v>38</v>
      </c>
      <c r="B14" s="12"/>
      <c r="C14" s="12"/>
      <c r="D14" s="12"/>
      <c r="E14" s="8"/>
      <c r="F14" s="24"/>
      <c r="G14" s="25"/>
      <c r="H14" s="14"/>
      <c r="I14" s="18"/>
      <c r="J14" s="18"/>
    </row>
    <row r="15" spans="1:15" ht="21.4" customHeight="1" x14ac:dyDescent="0.2">
      <c r="A15" s="8" t="s">
        <v>39</v>
      </c>
      <c r="B15" s="5"/>
      <c r="C15" s="24"/>
      <c r="D15" s="24"/>
      <c r="E15" s="8"/>
      <c r="F15" s="24"/>
      <c r="G15" s="25"/>
      <c r="H15" s="14"/>
      <c r="I15" s="26"/>
      <c r="J15" s="18"/>
    </row>
    <row r="16" spans="1:15" ht="21.4" customHeight="1" x14ac:dyDescent="0.2">
      <c r="A16" s="8" t="s">
        <v>40</v>
      </c>
      <c r="B16" s="5"/>
      <c r="C16" s="24"/>
      <c r="D16" s="24"/>
      <c r="E16" s="21"/>
      <c r="F16" s="24"/>
      <c r="G16" s="25"/>
      <c r="H16" s="14"/>
      <c r="I16" s="18"/>
      <c r="J16" s="18"/>
    </row>
    <row r="17" spans="1:10" ht="21.4" customHeight="1" x14ac:dyDescent="0.2">
      <c r="A17" s="8" t="s">
        <v>41</v>
      </c>
      <c r="B17" s="24"/>
      <c r="C17" s="24"/>
      <c r="D17" s="24"/>
      <c r="E17" s="21"/>
      <c r="F17" s="27"/>
      <c r="G17" s="28"/>
      <c r="H17" s="14"/>
      <c r="I17" s="18"/>
      <c r="J17" s="18"/>
    </row>
    <row r="18" spans="1:10" ht="21.4" customHeight="1" x14ac:dyDescent="0.2">
      <c r="A18" s="8" t="s">
        <v>42</v>
      </c>
      <c r="B18" s="24"/>
      <c r="C18" s="24"/>
      <c r="D18" s="24"/>
      <c r="E18" s="21"/>
      <c r="F18" s="13"/>
      <c r="G18" s="13"/>
      <c r="H18" s="14"/>
      <c r="I18" s="18"/>
      <c r="J18" s="18"/>
    </row>
    <row r="19" spans="1:10" ht="21.4" customHeight="1" x14ac:dyDescent="0.2">
      <c r="A19" s="8" t="s">
        <v>43</v>
      </c>
      <c r="B19" s="5"/>
      <c r="C19" s="5"/>
      <c r="D19" s="5"/>
      <c r="E19" s="8"/>
      <c r="F19" s="5"/>
      <c r="G19" s="5"/>
      <c r="H19" s="7"/>
      <c r="I19" s="18"/>
      <c r="J19" s="18"/>
    </row>
    <row r="20" spans="1:10" ht="21.4" customHeight="1" x14ac:dyDescent="0.2">
      <c r="A20" s="8" t="s">
        <v>44</v>
      </c>
      <c r="B20" s="5"/>
      <c r="C20" s="5"/>
      <c r="D20" s="5"/>
      <c r="E20" s="8"/>
      <c r="F20" s="5"/>
      <c r="G20" s="5"/>
      <c r="H20" s="7"/>
      <c r="I20" s="18"/>
      <c r="J20" s="18"/>
    </row>
    <row r="21" spans="1:10" ht="21.4" customHeight="1" x14ac:dyDescent="0.2">
      <c r="A21" s="8" t="s">
        <v>45</v>
      </c>
      <c r="B21" s="24"/>
      <c r="C21" s="24"/>
      <c r="D21" s="24"/>
      <c r="E21" s="14"/>
      <c r="F21" s="5"/>
      <c r="G21" s="5"/>
      <c r="H21" s="14"/>
      <c r="I21" s="18"/>
      <c r="J21" s="18"/>
    </row>
    <row r="22" spans="1:10" ht="21.4" customHeight="1" x14ac:dyDescent="0.2">
      <c r="A22" s="8" t="s">
        <v>46</v>
      </c>
      <c r="B22" s="24"/>
      <c r="C22" s="24"/>
      <c r="D22" s="24"/>
      <c r="E22" s="14"/>
      <c r="F22" s="5"/>
      <c r="G22" s="29"/>
      <c r="H22" s="14"/>
      <c r="I22" s="18"/>
      <c r="J22" s="18"/>
    </row>
    <row r="23" spans="1:10" ht="21.4" customHeight="1" x14ac:dyDescent="0.2">
      <c r="A23" s="8" t="s">
        <v>47</v>
      </c>
      <c r="B23" s="24"/>
      <c r="C23" s="29"/>
      <c r="D23" s="29"/>
      <c r="E23" s="14"/>
      <c r="F23" s="5"/>
      <c r="G23" s="29"/>
      <c r="H23" s="30"/>
      <c r="I23" s="30"/>
      <c r="J23" s="30"/>
    </row>
    <row r="24" spans="1:10" ht="21.4" customHeight="1" x14ac:dyDescent="0.2">
      <c r="A24" s="8" t="s">
        <v>48</v>
      </c>
      <c r="B24" s="24"/>
      <c r="C24" s="24"/>
      <c r="D24" s="24"/>
      <c r="E24" s="14"/>
      <c r="F24" s="5"/>
      <c r="G24" s="5"/>
      <c r="H24" s="30"/>
      <c r="I24" s="30"/>
      <c r="J24" s="30"/>
    </row>
    <row r="25" spans="1:10" ht="21.4" customHeight="1" x14ac:dyDescent="0.2">
      <c r="A25" s="8" t="s">
        <v>49</v>
      </c>
      <c r="B25" s="5"/>
      <c r="C25" s="5"/>
      <c r="D25" s="5"/>
      <c r="E25" s="8"/>
      <c r="F25" s="5"/>
      <c r="G25" s="5"/>
      <c r="H25" s="7"/>
      <c r="I25" s="8"/>
      <c r="J25" s="7"/>
    </row>
    <row r="26" spans="1:10" ht="21.4" customHeight="1" x14ac:dyDescent="0.2">
      <c r="A26" s="8" t="s">
        <v>50</v>
      </c>
      <c r="B26" s="5"/>
      <c r="C26" s="5"/>
      <c r="D26" s="5"/>
      <c r="E26" s="8"/>
      <c r="F26" s="5"/>
      <c r="G26" s="5"/>
      <c r="H26" s="7"/>
      <c r="I26" s="8"/>
      <c r="J26" s="7"/>
    </row>
    <row r="27" spans="1:10" ht="21.4" customHeight="1" x14ac:dyDescent="0.2">
      <c r="A27" s="8" t="s">
        <v>51</v>
      </c>
      <c r="B27" s="5"/>
      <c r="C27" s="5"/>
      <c r="D27" s="5"/>
      <c r="E27" s="8"/>
      <c r="F27" s="5"/>
      <c r="G27" s="5"/>
      <c r="H27" s="7"/>
      <c r="I27" s="8"/>
      <c r="J27" s="7"/>
    </row>
    <row r="28" spans="1:10" ht="21.4" customHeight="1" x14ac:dyDescent="0.2">
      <c r="A28" s="8" t="s">
        <v>52</v>
      </c>
      <c r="B28" s="5"/>
      <c r="C28" s="5"/>
      <c r="D28" s="5"/>
      <c r="E28" s="8"/>
      <c r="F28" s="5"/>
      <c r="G28" s="5"/>
      <c r="H28" s="7"/>
      <c r="I28" s="8"/>
      <c r="J28" s="7"/>
    </row>
    <row r="29" spans="1:10" ht="21.4" customHeight="1" x14ac:dyDescent="0.2">
      <c r="A29" s="8" t="s">
        <v>53</v>
      </c>
      <c r="B29" s="5"/>
      <c r="C29" s="5"/>
      <c r="D29" s="5"/>
      <c r="E29" s="8"/>
      <c r="F29" s="5"/>
      <c r="G29" s="5"/>
      <c r="H29" s="7"/>
      <c r="I29" s="8"/>
      <c r="J29" s="7"/>
    </row>
  </sheetData>
  <sheetProtection selectLockedCells="1" selectUnlockedCells="1"/>
  <mergeCells count="3">
    <mergeCell ref="M10:N10"/>
    <mergeCell ref="M11:N11"/>
    <mergeCell ref="M12:N12"/>
  </mergeCells>
  <pageMargins left="0.21875" right="0.1875" top="0.39374999999999999" bottom="0.39374999999999999" header="0.51180555555555551" footer="0.51180555555555551"/>
  <pageSetup paperSize="9" firstPageNumber="0" orientation="landscape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44D5C-9ED6-4C43-BEC6-85441509591D}">
  <sheetPr>
    <pageSetUpPr fitToPage="1"/>
  </sheetPr>
  <dimension ref="A1:J37"/>
  <sheetViews>
    <sheetView workbookViewId="0">
      <selection activeCell="A12" sqref="A12:IV33"/>
    </sheetView>
  </sheetViews>
  <sheetFormatPr defaultRowHeight="14.25" x14ac:dyDescent="0.2"/>
  <cols>
    <col min="1" max="1" width="4.75" customWidth="1"/>
    <col min="2" max="2" width="16.375" customWidth="1"/>
    <col min="3" max="3" width="22.25" customWidth="1"/>
    <col min="4" max="5" width="10.75" customWidth="1"/>
    <col min="6" max="6" width="15.5" customWidth="1"/>
    <col min="7" max="7" width="10.75" customWidth="1"/>
    <col min="8" max="8" width="7.25" customWidth="1"/>
    <col min="9" max="10" width="10.75" customWidth="1"/>
  </cols>
  <sheetData>
    <row r="1" spans="1:10" x14ac:dyDescent="0.2">
      <c r="A1" s="57" t="s">
        <v>54</v>
      </c>
      <c r="B1" s="57"/>
      <c r="C1" s="57"/>
      <c r="D1" s="57"/>
      <c r="E1" s="57"/>
      <c r="F1" s="57"/>
      <c r="G1" s="31"/>
      <c r="H1" s="31"/>
      <c r="I1" s="31"/>
      <c r="J1" s="31"/>
    </row>
    <row r="2" spans="1:10" x14ac:dyDescent="0.2">
      <c r="A2" s="57"/>
      <c r="B2" s="57"/>
      <c r="C2" s="57"/>
      <c r="D2" s="57"/>
      <c r="E2" s="57"/>
      <c r="F2" s="57"/>
      <c r="G2" s="31"/>
      <c r="H2" s="31"/>
      <c r="I2" s="31"/>
      <c r="J2" s="31"/>
    </row>
    <row r="3" spans="1:10" x14ac:dyDescent="0.2">
      <c r="A3" s="57"/>
      <c r="B3" s="57"/>
      <c r="C3" s="57"/>
      <c r="D3" s="57"/>
      <c r="E3" s="57"/>
      <c r="F3" s="57"/>
      <c r="G3" s="31"/>
      <c r="H3" s="31"/>
      <c r="I3" s="31"/>
      <c r="J3" s="31"/>
    </row>
    <row r="4" spans="1:10" x14ac:dyDescent="0.2">
      <c r="E4" t="s">
        <v>55</v>
      </c>
      <c r="F4" s="32">
        <f>'DANE '!N8</f>
        <v>46261</v>
      </c>
    </row>
    <row r="6" spans="1:10" ht="20.25" customHeight="1" x14ac:dyDescent="0.2">
      <c r="A6" s="52" t="s">
        <v>56</v>
      </c>
      <c r="B6" s="59"/>
      <c r="C6" s="59"/>
      <c r="D6" s="52" t="s">
        <v>57</v>
      </c>
      <c r="E6" s="52" t="s">
        <v>58</v>
      </c>
      <c r="F6" s="52" t="s">
        <v>59</v>
      </c>
    </row>
    <row r="7" spans="1:10" ht="27" customHeight="1" x14ac:dyDescent="0.2">
      <c r="A7" s="5">
        <v>1</v>
      </c>
      <c r="B7" s="12" t="str">
        <f>'DANE '!B3</f>
        <v>Kamińska-Wierzchowska</v>
      </c>
      <c r="C7" s="12" t="str">
        <f>'DANE '!C3</f>
        <v>Karolina</v>
      </c>
      <c r="D7" s="5" t="s">
        <v>61</v>
      </c>
      <c r="E7" s="34" t="s">
        <v>88</v>
      </c>
      <c r="F7" s="5">
        <v>5</v>
      </c>
    </row>
    <row r="8" spans="1:10" ht="20.25" customHeight="1" x14ac:dyDescent="0.2">
      <c r="A8" s="5">
        <v>2</v>
      </c>
      <c r="B8" s="12" t="str">
        <f>'DANE '!B4</f>
        <v>Faber</v>
      </c>
      <c r="C8" s="12" t="str">
        <f>'DANE '!C4</f>
        <v>Ewelina</v>
      </c>
      <c r="D8" s="5" t="s">
        <v>61</v>
      </c>
      <c r="E8" s="34" t="s">
        <v>88</v>
      </c>
      <c r="F8" s="5">
        <v>5</v>
      </c>
    </row>
    <row r="9" spans="1:10" ht="21.75" customHeight="1" x14ac:dyDescent="0.2">
      <c r="A9" s="5">
        <v>3</v>
      </c>
      <c r="B9" s="12" t="str">
        <f>'DANE '!B5</f>
        <v>Łukowska</v>
      </c>
      <c r="C9" s="12" t="str">
        <f>'DANE '!C5</f>
        <v>Monika</v>
      </c>
      <c r="D9" s="5" t="s">
        <v>61</v>
      </c>
      <c r="E9" s="34" t="s">
        <v>88</v>
      </c>
      <c r="F9" s="5">
        <v>5</v>
      </c>
    </row>
    <row r="10" spans="1:10" ht="20.25" customHeight="1" x14ac:dyDescent="0.2">
      <c r="A10" s="5">
        <v>4</v>
      </c>
      <c r="B10" s="12" t="str">
        <f>'DANE '!B6</f>
        <v>Niemiro</v>
      </c>
      <c r="C10" s="12" t="str">
        <f>'DANE '!C6</f>
        <v>Maciej</v>
      </c>
      <c r="D10" s="5" t="s">
        <v>61</v>
      </c>
      <c r="E10" s="34" t="s">
        <v>88</v>
      </c>
      <c r="F10" s="5">
        <v>5</v>
      </c>
    </row>
    <row r="11" spans="1:10" ht="20.25" customHeight="1" x14ac:dyDescent="0.2">
      <c r="A11" s="5">
        <v>5</v>
      </c>
      <c r="B11" s="12" t="str">
        <f>'DANE '!B7</f>
        <v>Kiela</v>
      </c>
      <c r="C11" s="12" t="str">
        <f>'DANE '!C7</f>
        <v>Kamil</v>
      </c>
      <c r="D11" s="5" t="s">
        <v>61</v>
      </c>
      <c r="E11" s="34" t="s">
        <v>88</v>
      </c>
      <c r="F11" s="5">
        <v>5</v>
      </c>
    </row>
    <row r="12" spans="1:10" ht="20.25" hidden="1" customHeight="1" x14ac:dyDescent="0.2">
      <c r="A12" s="5">
        <v>6</v>
      </c>
      <c r="B12" s="12">
        <f>'DANE '!B8</f>
        <v>0</v>
      </c>
      <c r="C12" s="12">
        <f>'DANE '!C8</f>
        <v>0</v>
      </c>
      <c r="D12" s="5" t="s">
        <v>62</v>
      </c>
      <c r="E12" s="34" t="s">
        <v>88</v>
      </c>
      <c r="F12" s="5">
        <v>5</v>
      </c>
    </row>
    <row r="13" spans="1:10" ht="20.25" hidden="1" customHeight="1" x14ac:dyDescent="0.2">
      <c r="A13" s="5">
        <v>7</v>
      </c>
      <c r="B13" s="12">
        <f>'DANE '!B9</f>
        <v>0</v>
      </c>
      <c r="C13" s="12">
        <f>'DANE '!C9</f>
        <v>0</v>
      </c>
      <c r="D13" s="5" t="s">
        <v>62</v>
      </c>
      <c r="E13" s="34" t="s">
        <v>88</v>
      </c>
      <c r="F13" s="5">
        <v>5</v>
      </c>
    </row>
    <row r="14" spans="1:10" ht="20.25" hidden="1" customHeight="1" x14ac:dyDescent="0.2">
      <c r="A14" s="5">
        <v>8</v>
      </c>
      <c r="B14" s="12">
        <f>'DANE '!B10</f>
        <v>0</v>
      </c>
      <c r="C14" s="12">
        <f>'DANE '!C10</f>
        <v>0</v>
      </c>
      <c r="D14" s="5" t="s">
        <v>62</v>
      </c>
      <c r="E14" s="34" t="s">
        <v>88</v>
      </c>
      <c r="F14" s="5">
        <v>5</v>
      </c>
    </row>
    <row r="15" spans="1:10" ht="20.25" hidden="1" customHeight="1" x14ac:dyDescent="0.2">
      <c r="A15" s="5">
        <v>9</v>
      </c>
      <c r="B15" s="12">
        <f>'DANE '!B11</f>
        <v>0</v>
      </c>
      <c r="C15" s="12">
        <f>'DANE '!C11</f>
        <v>0</v>
      </c>
      <c r="D15" s="35"/>
      <c r="E15" s="34"/>
      <c r="F15" s="35"/>
    </row>
    <row r="16" spans="1:10" ht="20.25" hidden="1" customHeight="1" x14ac:dyDescent="0.2">
      <c r="A16" s="5">
        <v>10</v>
      </c>
      <c r="B16" s="12">
        <f>'DANE '!B12</f>
        <v>0</v>
      </c>
      <c r="C16" s="12">
        <f>'DANE '!C12</f>
        <v>0</v>
      </c>
      <c r="D16" s="5"/>
      <c r="E16" s="34"/>
      <c r="F16" s="5"/>
    </row>
    <row r="17" spans="1:6" ht="20.25" hidden="1" customHeight="1" x14ac:dyDescent="0.2">
      <c r="A17" s="5">
        <v>11</v>
      </c>
      <c r="B17" s="12">
        <f>'DANE '!B13</f>
        <v>0</v>
      </c>
      <c r="C17" s="12">
        <f>'DANE '!C13</f>
        <v>0</v>
      </c>
      <c r="D17" s="5"/>
      <c r="E17" s="34"/>
      <c r="F17" s="5"/>
    </row>
    <row r="18" spans="1:6" s="36" customFormat="1" ht="20.25" hidden="1" customHeight="1" x14ac:dyDescent="0.2">
      <c r="A18" s="5">
        <v>12</v>
      </c>
      <c r="B18" s="12">
        <f>'DANE '!B14</f>
        <v>0</v>
      </c>
      <c r="C18" s="12">
        <f>'DANE '!C14</f>
        <v>0</v>
      </c>
      <c r="D18" s="5"/>
      <c r="E18" s="34"/>
      <c r="F18" s="5"/>
    </row>
    <row r="19" spans="1:6" s="36" customFormat="1" ht="21" hidden="1" customHeight="1" x14ac:dyDescent="0.2">
      <c r="A19" s="5">
        <v>13</v>
      </c>
      <c r="B19" s="12">
        <f>'DANE '!B15</f>
        <v>0</v>
      </c>
      <c r="C19" s="12">
        <f>'DANE '!C15</f>
        <v>0</v>
      </c>
      <c r="D19" s="5"/>
      <c r="E19" s="34"/>
      <c r="F19" s="5"/>
    </row>
    <row r="20" spans="1:6" ht="20.25" hidden="1" customHeight="1" x14ac:dyDescent="0.2">
      <c r="A20" s="5">
        <v>14</v>
      </c>
      <c r="B20" s="12">
        <f>'DANE '!B16</f>
        <v>0</v>
      </c>
      <c r="C20" s="12">
        <f>'DANE '!C16</f>
        <v>0</v>
      </c>
      <c r="D20" s="5"/>
      <c r="E20" s="34"/>
      <c r="F20" s="5"/>
    </row>
    <row r="21" spans="1:6" ht="20.25" hidden="1" customHeight="1" x14ac:dyDescent="0.2">
      <c r="A21" s="5">
        <v>15</v>
      </c>
      <c r="B21" s="12">
        <f>'DANE '!B17</f>
        <v>0</v>
      </c>
      <c r="C21" s="12">
        <f>'DANE '!C17</f>
        <v>0</v>
      </c>
      <c r="D21" s="5"/>
      <c r="E21" s="34"/>
      <c r="F21" s="5"/>
    </row>
    <row r="22" spans="1:6" ht="20.25" hidden="1" customHeight="1" x14ac:dyDescent="0.2">
      <c r="A22" s="5">
        <v>16</v>
      </c>
      <c r="B22" s="12">
        <f>'DANE '!B18</f>
        <v>0</v>
      </c>
      <c r="C22" s="12">
        <f>'DANE '!C18</f>
        <v>0</v>
      </c>
      <c r="D22" s="5" t="s">
        <v>60</v>
      </c>
      <c r="E22" s="34"/>
      <c r="F22" s="5"/>
    </row>
    <row r="23" spans="1:6" ht="20.25" hidden="1" customHeight="1" x14ac:dyDescent="0.2">
      <c r="A23" s="5">
        <v>17</v>
      </c>
      <c r="B23" s="12">
        <f>'DANE '!B19</f>
        <v>0</v>
      </c>
      <c r="C23" s="12">
        <f>'DANE '!C19</f>
        <v>0</v>
      </c>
      <c r="D23" s="5" t="s">
        <v>61</v>
      </c>
      <c r="E23" s="34"/>
      <c r="F23" s="5"/>
    </row>
    <row r="24" spans="1:6" ht="20.25" hidden="1" customHeight="1" x14ac:dyDescent="0.2">
      <c r="A24" s="5">
        <v>18</v>
      </c>
      <c r="B24" s="12">
        <f>'DANE '!B20</f>
        <v>0</v>
      </c>
      <c r="C24" s="12">
        <f>'DANE '!C20</f>
        <v>0</v>
      </c>
      <c r="D24" s="5" t="s">
        <v>61</v>
      </c>
      <c r="E24" s="34"/>
      <c r="F24" s="5"/>
    </row>
    <row r="25" spans="1:6" ht="20.25" hidden="1" customHeight="1" x14ac:dyDescent="0.2">
      <c r="A25" s="5">
        <v>19</v>
      </c>
      <c r="B25" s="12">
        <f>'DANE '!B21</f>
        <v>0</v>
      </c>
      <c r="C25" s="12">
        <f>'DANE '!C21</f>
        <v>0</v>
      </c>
      <c r="D25" s="5" t="s">
        <v>62</v>
      </c>
      <c r="E25" s="34"/>
      <c r="F25" s="5"/>
    </row>
    <row r="26" spans="1:6" ht="20.25" hidden="1" customHeight="1" x14ac:dyDescent="0.2">
      <c r="A26" s="5">
        <v>20</v>
      </c>
      <c r="B26" s="12">
        <f>'DANE '!B22</f>
        <v>0</v>
      </c>
      <c r="C26" s="12">
        <f>'DANE '!C22</f>
        <v>0</v>
      </c>
      <c r="D26" s="5" t="s">
        <v>61</v>
      </c>
      <c r="E26" s="34"/>
      <c r="F26" s="5"/>
    </row>
    <row r="27" spans="1:6" ht="20.25" hidden="1" customHeight="1" x14ac:dyDescent="0.2">
      <c r="A27" s="5">
        <v>21</v>
      </c>
      <c r="B27" s="12">
        <f>'DANE '!B23</f>
        <v>0</v>
      </c>
      <c r="C27" s="12">
        <f>'DANE '!C23</f>
        <v>0</v>
      </c>
      <c r="D27" s="5"/>
      <c r="E27" s="34"/>
      <c r="F27" s="5"/>
    </row>
    <row r="28" spans="1:6" ht="20.25" hidden="1" customHeight="1" x14ac:dyDescent="0.2">
      <c r="A28" s="5">
        <v>22</v>
      </c>
      <c r="B28" s="12">
        <f>'DANE '!B24</f>
        <v>0</v>
      </c>
      <c r="C28" s="12">
        <f>'DANE '!C24</f>
        <v>0</v>
      </c>
      <c r="D28" s="5"/>
      <c r="E28" s="34"/>
      <c r="F28" s="5"/>
    </row>
    <row r="29" spans="1:6" ht="20.25" hidden="1" customHeight="1" x14ac:dyDescent="0.2">
      <c r="A29" s="5">
        <v>23</v>
      </c>
      <c r="B29" s="12">
        <f>'DANE '!B25</f>
        <v>0</v>
      </c>
      <c r="C29" s="12">
        <f>'DANE '!C25</f>
        <v>0</v>
      </c>
      <c r="D29" s="5"/>
      <c r="E29" s="34"/>
      <c r="F29" s="5"/>
    </row>
    <row r="30" spans="1:6" ht="20.25" hidden="1" customHeight="1" x14ac:dyDescent="0.2">
      <c r="A30" s="5">
        <v>24</v>
      </c>
      <c r="B30" s="12">
        <f>'DANE '!B26</f>
        <v>0</v>
      </c>
      <c r="C30" s="12">
        <f>'DANE '!C26</f>
        <v>0</v>
      </c>
      <c r="D30" s="5"/>
      <c r="E30" s="34"/>
      <c r="F30" s="5"/>
    </row>
    <row r="31" spans="1:6" ht="20.25" hidden="1" customHeight="1" x14ac:dyDescent="0.2">
      <c r="A31" s="5">
        <v>25</v>
      </c>
      <c r="B31" s="12">
        <f>'DANE '!B27</f>
        <v>0</v>
      </c>
      <c r="C31" s="12">
        <f>'DANE '!C27</f>
        <v>0</v>
      </c>
      <c r="D31" s="5"/>
      <c r="E31" s="34"/>
      <c r="F31" s="5"/>
    </row>
    <row r="32" spans="1:6" ht="20.25" hidden="1" customHeight="1" x14ac:dyDescent="0.2">
      <c r="A32" s="5">
        <v>26</v>
      </c>
      <c r="B32" s="12">
        <f>'DANE '!B28</f>
        <v>0</v>
      </c>
      <c r="C32" s="12">
        <f>'DANE '!C28</f>
        <v>0</v>
      </c>
      <c r="D32" s="5"/>
      <c r="E32" s="34"/>
      <c r="F32" s="5"/>
    </row>
    <row r="33" spans="1:6" ht="20.25" hidden="1" customHeight="1" x14ac:dyDescent="0.2">
      <c r="A33" s="5">
        <v>27</v>
      </c>
      <c r="B33" s="12">
        <f>'DANE '!B29</f>
        <v>0</v>
      </c>
      <c r="C33" s="12">
        <f>'DANE '!C29</f>
        <v>0</v>
      </c>
      <c r="D33" s="5"/>
      <c r="E33" s="34"/>
      <c r="F33" s="5"/>
    </row>
    <row r="34" spans="1:6" x14ac:dyDescent="0.2">
      <c r="D34" s="60" t="s">
        <v>63</v>
      </c>
      <c r="E34" s="60"/>
      <c r="F34" s="60"/>
    </row>
    <row r="36" spans="1:6" x14ac:dyDescent="0.2">
      <c r="A36" t="s">
        <v>64</v>
      </c>
    </row>
    <row r="37" spans="1:6" x14ac:dyDescent="0.2">
      <c r="A37" t="s">
        <v>65</v>
      </c>
      <c r="D37" t="s">
        <v>66</v>
      </c>
      <c r="F37" t="s">
        <v>66</v>
      </c>
    </row>
  </sheetData>
  <sheetProtection selectLockedCells="1" selectUnlockedCells="1"/>
  <mergeCells count="3">
    <mergeCell ref="A1:F3"/>
    <mergeCell ref="B6:C6"/>
    <mergeCell ref="D34:F34"/>
  </mergeCells>
  <pageMargins left="0.21875" right="0.1875" top="0.39374999999999999" bottom="0.39374999999999999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42BB2-6976-4A7C-A242-68DCC441E7B9}">
  <sheetPr>
    <pageSetUpPr fitToPage="1"/>
  </sheetPr>
  <dimension ref="A1:J49"/>
  <sheetViews>
    <sheetView workbookViewId="0">
      <selection activeCell="A12" sqref="A12:IV34"/>
    </sheetView>
  </sheetViews>
  <sheetFormatPr defaultRowHeight="14.25" x14ac:dyDescent="0.2"/>
  <cols>
    <col min="1" max="1" width="3.875" customWidth="1"/>
    <col min="2" max="2" width="20.125" customWidth="1"/>
    <col min="3" max="3" width="17.25" customWidth="1"/>
    <col min="4" max="4" width="10.75" style="2" customWidth="1"/>
    <col min="5" max="10" width="10.75" customWidth="1"/>
  </cols>
  <sheetData>
    <row r="1" spans="1:10" x14ac:dyDescent="0.2">
      <c r="A1" s="57" t="s">
        <v>67</v>
      </c>
      <c r="B1" s="57"/>
      <c r="C1" s="57"/>
      <c r="D1" s="57"/>
      <c r="E1" s="57"/>
      <c r="F1" s="57"/>
      <c r="G1" s="57"/>
      <c r="H1" s="57"/>
      <c r="I1" s="31"/>
      <c r="J1" s="31"/>
    </row>
    <row r="2" spans="1:10" x14ac:dyDescent="0.2">
      <c r="A2" s="57"/>
      <c r="B2" s="57"/>
      <c r="C2" s="57"/>
      <c r="D2" s="57"/>
      <c r="E2" s="57"/>
      <c r="F2" s="57"/>
      <c r="G2" s="57"/>
      <c r="H2" s="57"/>
      <c r="I2" s="31"/>
      <c r="J2" s="31"/>
    </row>
    <row r="3" spans="1:10" x14ac:dyDescent="0.2">
      <c r="A3" s="57"/>
      <c r="B3" s="57"/>
      <c r="C3" s="57"/>
      <c r="D3" s="57"/>
      <c r="E3" s="57"/>
      <c r="F3" s="57"/>
      <c r="G3" s="57"/>
      <c r="H3" s="57"/>
      <c r="I3" s="31"/>
      <c r="J3" s="31"/>
    </row>
    <row r="4" spans="1:10" x14ac:dyDescent="0.2">
      <c r="G4" t="s">
        <v>55</v>
      </c>
      <c r="H4" s="32">
        <f>'DANE '!N8</f>
        <v>46261</v>
      </c>
    </row>
    <row r="6" spans="1:10" ht="20.100000000000001" customHeight="1" x14ac:dyDescent="0.2">
      <c r="A6" s="52" t="s">
        <v>56</v>
      </c>
      <c r="B6" s="59"/>
      <c r="C6" s="59"/>
      <c r="D6" s="5" t="s">
        <v>68</v>
      </c>
      <c r="E6" s="52" t="s">
        <v>69</v>
      </c>
      <c r="F6" s="52" t="s">
        <v>70</v>
      </c>
      <c r="G6" s="64" t="s">
        <v>71</v>
      </c>
      <c r="H6" s="64"/>
    </row>
    <row r="7" spans="1:10" ht="20.100000000000001" customHeight="1" x14ac:dyDescent="0.2">
      <c r="A7" s="5">
        <v>1</v>
      </c>
      <c r="B7" s="12" t="str">
        <f>'DANE '!B3</f>
        <v>Kamińska-Wierzchowska</v>
      </c>
      <c r="C7" s="12" t="str">
        <f>'DANE '!C3</f>
        <v>Karolina</v>
      </c>
      <c r="D7" s="5"/>
      <c r="E7" s="5"/>
      <c r="F7" s="5"/>
      <c r="G7" s="63"/>
      <c r="H7" s="63"/>
    </row>
    <row r="8" spans="1:10" ht="20.100000000000001" customHeight="1" x14ac:dyDescent="0.2">
      <c r="A8" s="5">
        <v>2</v>
      </c>
      <c r="B8" s="12" t="str">
        <f>'DANE '!B4</f>
        <v>Faber</v>
      </c>
      <c r="C8" s="12" t="str">
        <f>'DANE '!C4</f>
        <v>Ewelina</v>
      </c>
      <c r="D8" s="5"/>
      <c r="E8" s="5"/>
      <c r="F8" s="5"/>
      <c r="G8" s="63"/>
      <c r="H8" s="63"/>
    </row>
    <row r="9" spans="1:10" ht="20.100000000000001" customHeight="1" x14ac:dyDescent="0.2">
      <c r="A9" s="5">
        <v>3</v>
      </c>
      <c r="B9" s="12" t="str">
        <f>'DANE '!B5</f>
        <v>Łukowska</v>
      </c>
      <c r="C9" s="12" t="str">
        <f>'DANE '!C5</f>
        <v>Monika</v>
      </c>
      <c r="D9" s="5"/>
      <c r="E9" s="5"/>
      <c r="F9" s="5"/>
      <c r="G9" s="63"/>
      <c r="H9" s="63"/>
    </row>
    <row r="10" spans="1:10" ht="20.100000000000001" customHeight="1" x14ac:dyDescent="0.2">
      <c r="A10" s="5">
        <v>4</v>
      </c>
      <c r="B10" s="12" t="str">
        <f>'DANE '!B6</f>
        <v>Niemiro</v>
      </c>
      <c r="C10" s="12" t="str">
        <f>'DANE '!C6</f>
        <v>Maciej</v>
      </c>
      <c r="D10" s="5"/>
      <c r="E10" s="5"/>
      <c r="F10" s="5"/>
      <c r="G10" s="63"/>
      <c r="H10" s="63"/>
    </row>
    <row r="11" spans="1:10" ht="20.100000000000001" customHeight="1" x14ac:dyDescent="0.2">
      <c r="A11" s="5">
        <v>5</v>
      </c>
      <c r="B11" s="12" t="str">
        <f>'DANE '!B7</f>
        <v>Kiela</v>
      </c>
      <c r="C11" s="12" t="str">
        <f>'DANE '!C7</f>
        <v>Kamil</v>
      </c>
      <c r="D11" s="5"/>
      <c r="E11" s="5"/>
      <c r="F11" s="5"/>
      <c r="G11" s="63"/>
      <c r="H11" s="63"/>
    </row>
    <row r="12" spans="1:10" ht="20.100000000000001" hidden="1" customHeight="1" x14ac:dyDescent="0.2">
      <c r="A12" s="5">
        <v>6</v>
      </c>
      <c r="B12" s="12">
        <f>'DANE '!B8</f>
        <v>0</v>
      </c>
      <c r="C12" s="12">
        <f>'DANE '!C8</f>
        <v>0</v>
      </c>
      <c r="D12" s="5"/>
      <c r="E12" s="5"/>
      <c r="F12" s="5"/>
      <c r="G12" s="63"/>
      <c r="H12" s="63"/>
    </row>
    <row r="13" spans="1:10" ht="20.100000000000001" hidden="1" customHeight="1" x14ac:dyDescent="0.2">
      <c r="A13" s="5">
        <v>7</v>
      </c>
      <c r="B13" s="12">
        <f>'DANE '!B9</f>
        <v>0</v>
      </c>
      <c r="C13" s="12">
        <f>'DANE '!C9</f>
        <v>0</v>
      </c>
      <c r="D13" s="5"/>
      <c r="E13" s="5"/>
      <c r="F13" s="5"/>
      <c r="G13" s="63"/>
      <c r="H13" s="63"/>
    </row>
    <row r="14" spans="1:10" ht="20.100000000000001" hidden="1" customHeight="1" x14ac:dyDescent="0.2">
      <c r="A14" s="5">
        <v>8</v>
      </c>
      <c r="B14" s="12">
        <f>'DANE '!B10</f>
        <v>0</v>
      </c>
      <c r="C14" s="12">
        <f>'DANE '!C10</f>
        <v>0</v>
      </c>
      <c r="D14" s="5"/>
      <c r="E14" s="5"/>
      <c r="F14" s="5"/>
      <c r="G14" s="63"/>
      <c r="H14" s="63"/>
    </row>
    <row r="15" spans="1:10" ht="20.100000000000001" hidden="1" customHeight="1" x14ac:dyDescent="0.2">
      <c r="A15" s="5">
        <v>9</v>
      </c>
      <c r="B15" s="12" t="e">
        <f>'DANE '!#REF!</f>
        <v>#REF!</v>
      </c>
      <c r="C15" s="12">
        <f>'DANE '!C11</f>
        <v>0</v>
      </c>
      <c r="D15" s="5"/>
      <c r="E15" s="5"/>
      <c r="F15" s="5"/>
      <c r="G15" s="63"/>
      <c r="H15" s="63"/>
    </row>
    <row r="16" spans="1:10" ht="20.100000000000001" hidden="1" customHeight="1" x14ac:dyDescent="0.2">
      <c r="A16" s="5">
        <v>10</v>
      </c>
      <c r="B16" s="12" t="e">
        <f>'DANE '!#REF!</f>
        <v>#REF!</v>
      </c>
      <c r="C16" s="12">
        <f>'DANE '!C12</f>
        <v>0</v>
      </c>
      <c r="D16" s="5"/>
      <c r="E16" s="5"/>
      <c r="F16" s="5"/>
      <c r="G16" s="63"/>
      <c r="H16" s="63"/>
    </row>
    <row r="17" spans="1:8" ht="20.100000000000001" hidden="1" customHeight="1" x14ac:dyDescent="0.2">
      <c r="A17" s="5">
        <v>11</v>
      </c>
      <c r="B17" s="12" t="e">
        <f>'DANE '!#REF!</f>
        <v>#REF!</v>
      </c>
      <c r="C17" s="12">
        <f>'DANE '!C13</f>
        <v>0</v>
      </c>
      <c r="D17" s="5"/>
      <c r="E17" s="5"/>
      <c r="F17" s="5"/>
      <c r="G17" s="63"/>
      <c r="H17" s="63"/>
    </row>
    <row r="18" spans="1:8" ht="20.100000000000001" hidden="1" customHeight="1" x14ac:dyDescent="0.2">
      <c r="A18" s="5">
        <v>12</v>
      </c>
      <c r="B18" s="12" t="e">
        <f>'DANE '!#REF!</f>
        <v>#REF!</v>
      </c>
      <c r="C18" s="12">
        <f>'DANE '!C14</f>
        <v>0</v>
      </c>
      <c r="D18" s="5"/>
      <c r="E18" s="5"/>
      <c r="F18" s="5"/>
      <c r="G18" s="63"/>
      <c r="H18" s="63"/>
    </row>
    <row r="19" spans="1:8" ht="20.100000000000001" hidden="1" customHeight="1" x14ac:dyDescent="0.2">
      <c r="A19" s="5">
        <v>13</v>
      </c>
      <c r="B19" s="12">
        <f>'DANE '!B15</f>
        <v>0</v>
      </c>
      <c r="C19" s="12">
        <f>'DANE '!C15</f>
        <v>0</v>
      </c>
      <c r="D19" s="5"/>
      <c r="E19" s="5"/>
      <c r="F19" s="5"/>
      <c r="G19" s="63"/>
      <c r="H19" s="63"/>
    </row>
    <row r="20" spans="1:8" ht="20.100000000000001" hidden="1" customHeight="1" x14ac:dyDescent="0.2">
      <c r="A20" s="5">
        <v>14</v>
      </c>
      <c r="B20" s="12">
        <f>'DANE '!B16</f>
        <v>0</v>
      </c>
      <c r="C20" s="12">
        <f>'DANE '!C16</f>
        <v>0</v>
      </c>
      <c r="D20" s="5"/>
      <c r="E20" s="5"/>
      <c r="F20" s="5"/>
      <c r="G20" s="63"/>
      <c r="H20" s="63"/>
    </row>
    <row r="21" spans="1:8" ht="20.100000000000001" hidden="1" customHeight="1" x14ac:dyDescent="0.2">
      <c r="A21" s="5">
        <v>15</v>
      </c>
      <c r="B21" s="12">
        <f>'DANE '!B17</f>
        <v>0</v>
      </c>
      <c r="C21" s="12">
        <f>'DANE '!C17</f>
        <v>0</v>
      </c>
      <c r="D21" s="5"/>
      <c r="E21" s="5"/>
      <c r="F21" s="5"/>
      <c r="G21" s="63"/>
      <c r="H21" s="63"/>
    </row>
    <row r="22" spans="1:8" ht="20.100000000000001" hidden="1" customHeight="1" x14ac:dyDescent="0.2">
      <c r="A22" s="5">
        <v>16</v>
      </c>
      <c r="B22" s="12">
        <f>'DANE '!B18</f>
        <v>0</v>
      </c>
      <c r="C22" s="12">
        <f>'DANE '!C18</f>
        <v>0</v>
      </c>
      <c r="D22" s="5"/>
      <c r="E22" s="5"/>
      <c r="F22" s="5"/>
      <c r="G22" s="63"/>
      <c r="H22" s="63"/>
    </row>
    <row r="23" spans="1:8" ht="20.100000000000001" hidden="1" customHeight="1" x14ac:dyDescent="0.2">
      <c r="A23" s="5">
        <v>17</v>
      </c>
      <c r="B23" s="12">
        <f>'DANE '!B19</f>
        <v>0</v>
      </c>
      <c r="C23" s="12">
        <f>'DANE '!C19</f>
        <v>0</v>
      </c>
      <c r="D23" s="5"/>
      <c r="E23" s="5"/>
      <c r="F23" s="5"/>
      <c r="G23" s="63"/>
      <c r="H23" s="63"/>
    </row>
    <row r="24" spans="1:8" ht="20.100000000000001" hidden="1" customHeight="1" x14ac:dyDescent="0.2">
      <c r="A24" s="5">
        <v>18</v>
      </c>
      <c r="B24" s="12">
        <f>'DANE '!B20</f>
        <v>0</v>
      </c>
      <c r="C24" s="12">
        <f>'DANE '!C20</f>
        <v>0</v>
      </c>
      <c r="D24" s="5"/>
      <c r="E24" s="5"/>
      <c r="F24" s="5"/>
      <c r="G24" s="63"/>
      <c r="H24" s="63"/>
    </row>
    <row r="25" spans="1:8" ht="20.100000000000001" hidden="1" customHeight="1" x14ac:dyDescent="0.2">
      <c r="A25" s="5">
        <v>19</v>
      </c>
      <c r="B25" s="12">
        <f>'DANE '!B21</f>
        <v>0</v>
      </c>
      <c r="C25" s="12">
        <f>'DANE '!C21</f>
        <v>0</v>
      </c>
      <c r="D25" s="5"/>
      <c r="E25" s="5"/>
      <c r="F25" s="5"/>
      <c r="G25" s="63"/>
      <c r="H25" s="63"/>
    </row>
    <row r="26" spans="1:8" ht="20.100000000000001" hidden="1" customHeight="1" x14ac:dyDescent="0.2">
      <c r="A26" s="5">
        <v>20</v>
      </c>
      <c r="B26" s="12">
        <f>'DANE '!B22</f>
        <v>0</v>
      </c>
      <c r="C26" s="12">
        <f>'DANE '!C22</f>
        <v>0</v>
      </c>
      <c r="D26" s="5"/>
      <c r="E26" s="5"/>
      <c r="F26" s="5"/>
      <c r="G26" s="63"/>
      <c r="H26" s="63"/>
    </row>
    <row r="27" spans="1:8" ht="20.100000000000001" hidden="1" customHeight="1" x14ac:dyDescent="0.2">
      <c r="A27" s="5">
        <v>21</v>
      </c>
      <c r="B27" s="12">
        <f>'DANE '!B23</f>
        <v>0</v>
      </c>
      <c r="C27" s="12">
        <f>'DANE '!C23</f>
        <v>0</v>
      </c>
      <c r="D27" s="5"/>
      <c r="E27" s="5"/>
      <c r="F27" s="5"/>
      <c r="G27" s="63"/>
      <c r="H27" s="63"/>
    </row>
    <row r="28" spans="1:8" ht="20.100000000000001" hidden="1" customHeight="1" x14ac:dyDescent="0.2">
      <c r="A28" s="5">
        <v>22</v>
      </c>
      <c r="B28" s="12">
        <f>'DANE '!B24</f>
        <v>0</v>
      </c>
      <c r="C28" s="12">
        <f>'DANE '!C24</f>
        <v>0</v>
      </c>
      <c r="D28" s="5"/>
      <c r="E28" s="5"/>
      <c r="F28" s="5"/>
      <c r="G28" s="63"/>
      <c r="H28" s="63"/>
    </row>
    <row r="29" spans="1:8" ht="20.100000000000001" hidden="1" customHeight="1" x14ac:dyDescent="0.2">
      <c r="A29" s="5">
        <v>23</v>
      </c>
      <c r="B29" s="12">
        <f>'DANE '!B25</f>
        <v>0</v>
      </c>
      <c r="C29" s="12">
        <f>'DANE '!C25</f>
        <v>0</v>
      </c>
      <c r="D29" s="5"/>
      <c r="E29" s="5"/>
      <c r="F29" s="5"/>
      <c r="G29" s="63"/>
      <c r="H29" s="63"/>
    </row>
    <row r="30" spans="1:8" ht="20.100000000000001" hidden="1" customHeight="1" x14ac:dyDescent="0.2">
      <c r="A30" s="5">
        <v>24</v>
      </c>
      <c r="B30" s="12">
        <f>'DANE '!B26</f>
        <v>0</v>
      </c>
      <c r="C30" s="12">
        <f>'DANE '!C26</f>
        <v>0</v>
      </c>
      <c r="D30" s="5"/>
      <c r="E30" s="5"/>
      <c r="F30" s="5"/>
      <c r="G30" s="63"/>
      <c r="H30" s="63"/>
    </row>
    <row r="31" spans="1:8" ht="20.100000000000001" hidden="1" customHeight="1" x14ac:dyDescent="0.2">
      <c r="A31" s="5">
        <v>25</v>
      </c>
      <c r="B31" s="12">
        <f>'DANE '!B27</f>
        <v>0</v>
      </c>
      <c r="C31" s="12">
        <f>'DANE '!C27</f>
        <v>0</v>
      </c>
      <c r="D31" s="5"/>
      <c r="E31" s="5"/>
      <c r="F31" s="5"/>
      <c r="G31" s="63"/>
      <c r="H31" s="63"/>
    </row>
    <row r="32" spans="1:8" ht="20.100000000000001" hidden="1" customHeight="1" x14ac:dyDescent="0.2">
      <c r="A32" s="5">
        <v>26</v>
      </c>
      <c r="B32" s="12">
        <f>'DANE '!B28</f>
        <v>0</v>
      </c>
      <c r="C32" s="12">
        <f>'DANE '!C28</f>
        <v>0</v>
      </c>
      <c r="D32" s="5"/>
      <c r="E32" s="5"/>
      <c r="F32" s="5"/>
      <c r="G32" s="63"/>
      <c r="H32" s="63"/>
    </row>
    <row r="33" spans="1:8" ht="20.100000000000001" hidden="1" customHeight="1" x14ac:dyDescent="0.2">
      <c r="A33" s="5">
        <v>27</v>
      </c>
      <c r="B33" s="12">
        <f>'DANE '!B29</f>
        <v>0</v>
      </c>
      <c r="C33" s="12">
        <f>'DANE '!C29</f>
        <v>0</v>
      </c>
      <c r="D33" s="5"/>
      <c r="E33" s="5"/>
      <c r="F33" s="5"/>
      <c r="G33" s="63"/>
      <c r="H33" s="63"/>
    </row>
    <row r="34" spans="1:8" hidden="1" x14ac:dyDescent="0.2">
      <c r="B34" s="2"/>
      <c r="D34"/>
      <c r="F34" s="61" t="s">
        <v>72</v>
      </c>
      <c r="G34" s="61"/>
      <c r="H34" s="61"/>
    </row>
    <row r="35" spans="1:8" x14ac:dyDescent="0.2">
      <c r="B35" s="2"/>
      <c r="D35"/>
    </row>
    <row r="48" spans="1:8" x14ac:dyDescent="0.2">
      <c r="A48" s="60" t="s">
        <v>73</v>
      </c>
      <c r="B48" s="60"/>
      <c r="C48" s="60"/>
      <c r="D48" s="60"/>
      <c r="E48" s="60"/>
      <c r="F48" s="60"/>
      <c r="G48" s="60"/>
      <c r="H48" s="60"/>
    </row>
    <row r="49" spans="1:8" x14ac:dyDescent="0.2">
      <c r="A49" t="s">
        <v>65</v>
      </c>
      <c r="D49" t="s">
        <v>66</v>
      </c>
      <c r="F49" t="s">
        <v>66</v>
      </c>
      <c r="G49" s="62"/>
      <c r="H49" s="62"/>
    </row>
  </sheetData>
  <sheetProtection selectLockedCells="1" selectUnlockedCells="1"/>
  <mergeCells count="33">
    <mergeCell ref="A1:H3"/>
    <mergeCell ref="B6:C6"/>
    <mergeCell ref="G6:H6"/>
    <mergeCell ref="G7:H7"/>
    <mergeCell ref="G8:H8"/>
    <mergeCell ref="G9:H9"/>
    <mergeCell ref="G10:H10"/>
    <mergeCell ref="G11:H11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F34:H34"/>
    <mergeCell ref="A48:H48"/>
    <mergeCell ref="G49:H49"/>
    <mergeCell ref="G28:H28"/>
    <mergeCell ref="G29:H29"/>
    <mergeCell ref="G30:H30"/>
    <mergeCell ref="G31:H31"/>
    <mergeCell ref="G32:H32"/>
    <mergeCell ref="G33:H33"/>
  </mergeCells>
  <pageMargins left="0.21875" right="0.1875" top="0.39374999999999999" bottom="0.39374999999999999" header="0.51180555555555551" footer="0.51180555555555551"/>
  <pageSetup paperSize="9" scale="97" firstPageNumber="0" fitToHeight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2545E-4D46-40B5-991F-2FCB94484F6A}">
  <sheetPr>
    <pageSetUpPr fitToPage="1"/>
  </sheetPr>
  <dimension ref="A1:I39"/>
  <sheetViews>
    <sheetView workbookViewId="0">
      <selection activeCell="A12" sqref="A12:IV14"/>
    </sheetView>
  </sheetViews>
  <sheetFormatPr defaultRowHeight="14.25" x14ac:dyDescent="0.2"/>
  <cols>
    <col min="1" max="1" width="3.875" customWidth="1"/>
    <col min="2" max="2" width="16.75" customWidth="1"/>
    <col min="3" max="3" width="18.75" customWidth="1"/>
    <col min="4" max="6" width="16.375" customWidth="1"/>
    <col min="7" max="7" width="21.375" customWidth="1"/>
    <col min="8" max="9" width="10.75" customWidth="1"/>
  </cols>
  <sheetData>
    <row r="1" spans="1:9" x14ac:dyDescent="0.2">
      <c r="A1" s="57" t="s">
        <v>74</v>
      </c>
      <c r="B1" s="57"/>
      <c r="C1" s="57"/>
      <c r="D1" s="57"/>
      <c r="E1" s="57"/>
      <c r="F1" s="57"/>
      <c r="G1" s="57"/>
      <c r="H1" s="31"/>
      <c r="I1" s="31"/>
    </row>
    <row r="2" spans="1:9" x14ac:dyDescent="0.2">
      <c r="A2" s="57"/>
      <c r="B2" s="57"/>
      <c r="C2" s="57"/>
      <c r="D2" s="57"/>
      <c r="E2" s="57"/>
      <c r="F2" s="57"/>
      <c r="G2" s="57"/>
      <c r="H2" s="31"/>
      <c r="I2" s="31"/>
    </row>
    <row r="3" spans="1:9" x14ac:dyDescent="0.2">
      <c r="A3" s="57"/>
      <c r="B3" s="57"/>
      <c r="C3" s="57"/>
      <c r="D3" s="57"/>
      <c r="E3" s="57"/>
      <c r="F3" s="57"/>
      <c r="G3" s="57"/>
      <c r="H3" s="31"/>
      <c r="I3" s="31"/>
    </row>
    <row r="4" spans="1:9" x14ac:dyDescent="0.2">
      <c r="F4" t="s">
        <v>75</v>
      </c>
      <c r="G4" s="38" t="s">
        <v>87</v>
      </c>
    </row>
    <row r="6" spans="1:9" ht="27.6" customHeight="1" x14ac:dyDescent="0.2">
      <c r="A6" s="45" t="s">
        <v>56</v>
      </c>
      <c r="B6" s="59" t="s">
        <v>77</v>
      </c>
      <c r="C6" s="59"/>
      <c r="D6" s="40" t="s">
        <v>78</v>
      </c>
      <c r="E6" s="5" t="s">
        <v>86</v>
      </c>
      <c r="F6" s="5" t="s">
        <v>79</v>
      </c>
      <c r="G6" s="54" t="s">
        <v>71</v>
      </c>
    </row>
    <row r="7" spans="1:9" ht="20.25" customHeight="1" x14ac:dyDescent="0.2">
      <c r="A7" s="52">
        <v>1</v>
      </c>
      <c r="B7" s="41" t="str">
        <f>'DANE '!B3</f>
        <v>Kamińska-Wierzchowska</v>
      </c>
      <c r="C7" s="41" t="str">
        <f>'DANE '!C3</f>
        <v>Karolina</v>
      </c>
      <c r="D7" s="52"/>
      <c r="E7" s="52"/>
      <c r="F7" s="52"/>
      <c r="G7" s="53"/>
    </row>
    <row r="8" spans="1:9" x14ac:dyDescent="0.2">
      <c r="A8" s="52">
        <v>2</v>
      </c>
      <c r="B8" s="41" t="str">
        <f>'DANE '!B4</f>
        <v>Faber</v>
      </c>
      <c r="C8" s="41" t="str">
        <f>'DANE '!C4</f>
        <v>Ewelina</v>
      </c>
      <c r="D8" s="52"/>
      <c r="E8" s="52"/>
      <c r="F8" s="52"/>
      <c r="G8" s="53"/>
    </row>
    <row r="9" spans="1:9" ht="18.75" customHeight="1" x14ac:dyDescent="0.2">
      <c r="A9" s="52">
        <v>3</v>
      </c>
      <c r="B9" s="41" t="str">
        <f>'DANE '!B5</f>
        <v>Łukowska</v>
      </c>
      <c r="C9" s="41" t="str">
        <f>'DANE '!C5</f>
        <v>Monika</v>
      </c>
      <c r="D9" s="52"/>
      <c r="E9" s="52"/>
      <c r="F9" s="52"/>
      <c r="G9" s="53"/>
    </row>
    <row r="10" spans="1:9" x14ac:dyDescent="0.2">
      <c r="A10" s="52">
        <v>4</v>
      </c>
      <c r="B10" s="41" t="str">
        <f>'DANE '!B6</f>
        <v>Niemiro</v>
      </c>
      <c r="C10" s="41" t="str">
        <f>'DANE '!C6</f>
        <v>Maciej</v>
      </c>
      <c r="D10" s="52"/>
      <c r="E10" s="52"/>
      <c r="F10" s="52"/>
      <c r="G10" s="53"/>
    </row>
    <row r="11" spans="1:9" x14ac:dyDescent="0.2">
      <c r="A11" s="52">
        <v>5</v>
      </c>
      <c r="B11" s="41" t="str">
        <f>'DANE '!B7</f>
        <v>Kiela</v>
      </c>
      <c r="C11" s="41" t="str">
        <f>'DANE '!C7</f>
        <v>Kamil</v>
      </c>
      <c r="D11" s="52"/>
      <c r="E11" s="52"/>
      <c r="F11" s="52"/>
      <c r="G11" s="53"/>
    </row>
    <row r="12" spans="1:9" hidden="1" x14ac:dyDescent="0.2">
      <c r="A12" s="52">
        <v>6</v>
      </c>
      <c r="B12" s="41">
        <f>'DANE '!B8</f>
        <v>0</v>
      </c>
      <c r="C12" s="41">
        <f>'DANE '!C8</f>
        <v>0</v>
      </c>
      <c r="D12" s="52"/>
      <c r="E12" s="52"/>
      <c r="F12" s="52"/>
      <c r="G12" s="53"/>
    </row>
    <row r="13" spans="1:9" hidden="1" x14ac:dyDescent="0.2">
      <c r="A13" s="52">
        <v>7</v>
      </c>
      <c r="B13" s="41">
        <f>'DANE '!B9</f>
        <v>0</v>
      </c>
      <c r="C13" s="41">
        <f>'DANE '!C9</f>
        <v>0</v>
      </c>
      <c r="D13" s="52"/>
      <c r="E13" s="52"/>
      <c r="F13" s="52"/>
      <c r="G13" s="53"/>
    </row>
    <row r="14" spans="1:9" hidden="1" x14ac:dyDescent="0.2">
      <c r="A14" s="52">
        <v>8</v>
      </c>
      <c r="B14" s="41">
        <f>'DANE '!B10</f>
        <v>0</v>
      </c>
      <c r="C14" s="41">
        <f>'DANE '!C10</f>
        <v>0</v>
      </c>
      <c r="D14" s="52"/>
      <c r="E14" s="52"/>
      <c r="F14" s="52"/>
      <c r="G14" s="53"/>
    </row>
    <row r="15" spans="1:9" hidden="1" x14ac:dyDescent="0.2">
      <c r="A15" s="33">
        <v>9</v>
      </c>
      <c r="B15" s="41">
        <f>'DANE '!B11</f>
        <v>0</v>
      </c>
      <c r="C15" s="41">
        <f>'DANE '!C11</f>
        <v>0</v>
      </c>
      <c r="D15" s="33"/>
      <c r="E15" s="33"/>
      <c r="F15" s="33"/>
      <c r="G15" s="42"/>
    </row>
    <row r="16" spans="1:9" hidden="1" x14ac:dyDescent="0.2">
      <c r="A16" s="33">
        <v>10</v>
      </c>
      <c r="B16" s="41">
        <f>'DANE '!B12</f>
        <v>0</v>
      </c>
      <c r="C16" s="41">
        <f>'DANE '!C12</f>
        <v>0</v>
      </c>
      <c r="D16" s="33"/>
      <c r="E16" s="33"/>
      <c r="F16" s="33"/>
      <c r="G16" s="42"/>
    </row>
    <row r="17" spans="1:7" hidden="1" x14ac:dyDescent="0.2">
      <c r="A17" s="33">
        <v>11</v>
      </c>
      <c r="B17" s="41">
        <f>'DANE '!B13</f>
        <v>0</v>
      </c>
      <c r="C17" s="41">
        <f>'DANE '!C13</f>
        <v>0</v>
      </c>
      <c r="D17" s="33"/>
      <c r="E17" s="33"/>
      <c r="F17" s="33"/>
      <c r="G17" s="42"/>
    </row>
    <row r="18" spans="1:7" hidden="1" x14ac:dyDescent="0.2">
      <c r="A18" s="33">
        <v>12</v>
      </c>
      <c r="B18" s="41">
        <f>'DANE '!B14</f>
        <v>0</v>
      </c>
      <c r="C18" s="41">
        <f>'DANE '!C14</f>
        <v>0</v>
      </c>
      <c r="D18" s="33"/>
      <c r="E18" s="33"/>
      <c r="F18" s="33"/>
      <c r="G18" s="42"/>
    </row>
    <row r="19" spans="1:7" hidden="1" x14ac:dyDescent="0.2">
      <c r="A19" s="33">
        <v>13</v>
      </c>
      <c r="B19" s="41">
        <f>'DANE '!B15</f>
        <v>0</v>
      </c>
      <c r="C19" s="41">
        <f>'DANE '!C15</f>
        <v>0</v>
      </c>
      <c r="D19" s="33"/>
      <c r="E19" s="33"/>
      <c r="F19" s="33"/>
      <c r="G19" s="42"/>
    </row>
    <row r="20" spans="1:7" hidden="1" x14ac:dyDescent="0.2">
      <c r="A20" s="33">
        <v>14</v>
      </c>
      <c r="B20" s="41">
        <f>'DANE '!B16</f>
        <v>0</v>
      </c>
      <c r="C20" s="41">
        <f>'DANE '!C16</f>
        <v>0</v>
      </c>
      <c r="D20" s="39"/>
      <c r="E20" s="39"/>
      <c r="F20" s="39"/>
      <c r="G20" s="43"/>
    </row>
    <row r="21" spans="1:7" hidden="1" x14ac:dyDescent="0.2">
      <c r="A21" s="33">
        <v>15</v>
      </c>
      <c r="B21" s="41">
        <f>'DANE '!B17</f>
        <v>0</v>
      </c>
      <c r="C21" s="41">
        <f>'DANE '!C17</f>
        <v>0</v>
      </c>
      <c r="D21" s="39"/>
      <c r="E21" s="39"/>
      <c r="F21" s="39"/>
      <c r="G21" s="39"/>
    </row>
    <row r="22" spans="1:7" hidden="1" x14ac:dyDescent="0.2">
      <c r="A22" s="33">
        <v>16</v>
      </c>
      <c r="B22" s="41">
        <f>'DANE '!B18</f>
        <v>0</v>
      </c>
      <c r="C22" s="41">
        <f>'DANE '!C18</f>
        <v>0</v>
      </c>
      <c r="D22" s="33"/>
      <c r="E22" s="33"/>
      <c r="F22" s="33"/>
      <c r="G22" s="33"/>
    </row>
    <row r="23" spans="1:7" hidden="1" x14ac:dyDescent="0.2">
      <c r="A23" s="33">
        <v>17</v>
      </c>
      <c r="B23" s="41">
        <f>'DANE '!B19</f>
        <v>0</v>
      </c>
      <c r="C23" s="41">
        <f>'DANE '!C19</f>
        <v>0</v>
      </c>
      <c r="D23" s="33"/>
      <c r="E23" s="33"/>
      <c r="F23" s="33"/>
      <c r="G23" s="33"/>
    </row>
    <row r="24" spans="1:7" ht="25.15" hidden="1" customHeight="1" x14ac:dyDescent="0.2">
      <c r="A24" s="33">
        <v>18</v>
      </c>
      <c r="B24" s="41">
        <f>'DANE '!B20</f>
        <v>0</v>
      </c>
      <c r="C24" s="41">
        <f>'DANE '!C20</f>
        <v>0</v>
      </c>
      <c r="D24" s="33"/>
      <c r="E24" s="33"/>
      <c r="F24" s="33"/>
      <c r="G24" s="33"/>
    </row>
    <row r="25" spans="1:7" hidden="1" x14ac:dyDescent="0.2">
      <c r="A25" s="33">
        <v>19</v>
      </c>
      <c r="B25" s="41">
        <f>'DANE '!B21</f>
        <v>0</v>
      </c>
      <c r="C25" s="41">
        <f>'DANE '!C21</f>
        <v>0</v>
      </c>
      <c r="D25" s="33"/>
      <c r="E25" s="33"/>
      <c r="F25" s="33"/>
      <c r="G25" s="33"/>
    </row>
    <row r="26" spans="1:7" hidden="1" x14ac:dyDescent="0.2">
      <c r="A26" s="33">
        <v>20</v>
      </c>
      <c r="B26" s="41">
        <f>'DANE '!B22</f>
        <v>0</v>
      </c>
      <c r="C26" s="41">
        <f>'DANE '!C22</f>
        <v>0</v>
      </c>
      <c r="D26" s="33"/>
      <c r="E26" s="33"/>
      <c r="F26" s="33"/>
      <c r="G26" s="33"/>
    </row>
    <row r="27" spans="1:7" hidden="1" x14ac:dyDescent="0.2">
      <c r="A27" s="33">
        <v>21</v>
      </c>
      <c r="B27" s="41">
        <f>'DANE '!B23</f>
        <v>0</v>
      </c>
      <c r="C27" s="41">
        <f>'DANE '!C23</f>
        <v>0</v>
      </c>
      <c r="D27" s="33"/>
      <c r="E27" s="33"/>
      <c r="F27" s="33"/>
      <c r="G27" s="33"/>
    </row>
    <row r="28" spans="1:7" hidden="1" x14ac:dyDescent="0.2">
      <c r="A28" s="33">
        <v>22</v>
      </c>
      <c r="B28" s="41">
        <f>'DANE '!B24</f>
        <v>0</v>
      </c>
      <c r="C28" s="41">
        <f>'DANE '!C24</f>
        <v>0</v>
      </c>
      <c r="D28" s="33"/>
      <c r="E28" s="33"/>
      <c r="F28" s="33"/>
      <c r="G28" s="33"/>
    </row>
    <row r="29" spans="1:7" hidden="1" x14ac:dyDescent="0.2">
      <c r="A29" s="33">
        <v>23</v>
      </c>
      <c r="B29" s="41">
        <f>'DANE '!B25</f>
        <v>0</v>
      </c>
      <c r="C29" s="41">
        <f>'DANE '!C25</f>
        <v>0</v>
      </c>
      <c r="D29" s="33"/>
      <c r="E29" s="33"/>
      <c r="F29" s="33"/>
      <c r="G29" s="33"/>
    </row>
    <row r="30" spans="1:7" hidden="1" x14ac:dyDescent="0.2">
      <c r="A30" s="33">
        <v>24</v>
      </c>
      <c r="B30" s="41">
        <f>'DANE '!B26</f>
        <v>0</v>
      </c>
      <c r="C30" s="41">
        <f>'DANE '!C26</f>
        <v>0</v>
      </c>
      <c r="D30" s="33"/>
      <c r="E30" s="33"/>
      <c r="F30" s="33"/>
      <c r="G30" s="33"/>
    </row>
    <row r="31" spans="1:7" hidden="1" x14ac:dyDescent="0.2">
      <c r="A31" s="33">
        <v>25</v>
      </c>
      <c r="B31" s="41">
        <f>'DANE '!B27</f>
        <v>0</v>
      </c>
      <c r="C31" s="41">
        <f>'DANE '!C27</f>
        <v>0</v>
      </c>
      <c r="D31" s="33"/>
      <c r="E31" s="33"/>
      <c r="F31" s="33"/>
      <c r="G31" s="33"/>
    </row>
    <row r="32" spans="1:7" hidden="1" x14ac:dyDescent="0.2">
      <c r="A32" s="33">
        <v>26</v>
      </c>
      <c r="B32" s="41">
        <f>'DANE '!B28</f>
        <v>0</v>
      </c>
      <c r="C32" s="41">
        <f>'DANE '!C28</f>
        <v>0</v>
      </c>
      <c r="D32" s="33"/>
      <c r="E32" s="33"/>
      <c r="F32" s="33"/>
      <c r="G32" s="33"/>
    </row>
    <row r="33" spans="1:7" hidden="1" x14ac:dyDescent="0.2">
      <c r="A33" s="33">
        <v>27</v>
      </c>
      <c r="B33" s="41">
        <f>'DANE '!B29</f>
        <v>0</v>
      </c>
      <c r="C33" s="41">
        <f>'DANE '!C29</f>
        <v>0</v>
      </c>
      <c r="D33" s="33"/>
      <c r="E33" s="33"/>
      <c r="F33" s="33"/>
      <c r="G33" s="33"/>
    </row>
    <row r="34" spans="1:7" x14ac:dyDescent="0.2">
      <c r="F34" t="s">
        <v>72</v>
      </c>
    </row>
    <row r="38" spans="1:7" x14ac:dyDescent="0.2">
      <c r="A38" s="60" t="s">
        <v>73</v>
      </c>
      <c r="B38" s="60"/>
      <c r="C38" s="60"/>
      <c r="D38" s="60"/>
      <c r="E38" s="60"/>
      <c r="F38" s="60"/>
      <c r="G38" s="60"/>
    </row>
    <row r="39" spans="1:7" x14ac:dyDescent="0.2">
      <c r="A39" t="s">
        <v>65</v>
      </c>
      <c r="D39" t="s">
        <v>66</v>
      </c>
      <c r="F39" t="s">
        <v>66</v>
      </c>
      <c r="G39" s="37"/>
    </row>
  </sheetData>
  <sheetProtection selectLockedCells="1" selectUnlockedCells="1"/>
  <mergeCells count="3">
    <mergeCell ref="A1:G3"/>
    <mergeCell ref="B6:C6"/>
    <mergeCell ref="A38:G38"/>
  </mergeCells>
  <pageMargins left="0.21875" right="0.1875" top="0.39374999999999999" bottom="0.39374999999999999" header="0.51180555555555551" footer="0.51180555555555551"/>
  <pageSetup paperSize="9" firstPageNumber="0" orientation="landscape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730BE-C494-4974-A20C-027CC0FB441E}">
  <sheetPr>
    <pageSetUpPr fitToPage="1"/>
  </sheetPr>
  <dimension ref="A1:J33"/>
  <sheetViews>
    <sheetView tabSelected="1" zoomScale="78" zoomScaleNormal="78" workbookViewId="0">
      <selection activeCell="D38" sqref="D38"/>
    </sheetView>
  </sheetViews>
  <sheetFormatPr defaultRowHeight="14.25" x14ac:dyDescent="0.2"/>
  <cols>
    <col min="1" max="1" width="3.875" customWidth="1"/>
    <col min="2" max="2" width="16.75" customWidth="1"/>
    <col min="3" max="3" width="18.75" customWidth="1"/>
    <col min="4" max="4" width="26.75" customWidth="1"/>
    <col min="5" max="5" width="22.25" customWidth="1"/>
    <col min="6" max="6" width="12.25" customWidth="1"/>
    <col min="7" max="7" width="4.125" customWidth="1"/>
    <col min="8" max="10" width="10.75" customWidth="1"/>
  </cols>
  <sheetData>
    <row r="1" spans="1:10" x14ac:dyDescent="0.2">
      <c r="A1" s="57" t="s">
        <v>80</v>
      </c>
      <c r="B1" s="57"/>
      <c r="C1" s="57"/>
      <c r="D1" s="57"/>
      <c r="E1" s="57"/>
      <c r="F1" s="57"/>
      <c r="G1" s="57"/>
      <c r="H1" s="57"/>
      <c r="I1" s="31"/>
      <c r="J1" s="31"/>
    </row>
    <row r="2" spans="1:10" x14ac:dyDescent="0.2">
      <c r="A2" s="57"/>
      <c r="B2" s="57"/>
      <c r="C2" s="57"/>
      <c r="D2" s="57"/>
      <c r="E2" s="57"/>
      <c r="F2" s="57"/>
      <c r="G2" s="57"/>
      <c r="H2" s="57"/>
      <c r="I2" s="31"/>
      <c r="J2" s="31"/>
    </row>
    <row r="3" spans="1:10" x14ac:dyDescent="0.2">
      <c r="A3" s="57"/>
      <c r="B3" s="57"/>
      <c r="C3" s="57"/>
      <c r="D3" s="57"/>
      <c r="E3" s="57"/>
      <c r="F3" s="57"/>
      <c r="G3" s="57"/>
      <c r="H3" s="57"/>
      <c r="I3" s="31"/>
      <c r="J3" s="31"/>
    </row>
    <row r="4" spans="1:10" x14ac:dyDescent="0.2">
      <c r="H4" s="44"/>
    </row>
    <row r="6" spans="1:10" ht="27.6" customHeight="1" x14ac:dyDescent="0.2">
      <c r="A6" s="65"/>
      <c r="B6" s="65"/>
      <c r="C6" s="65"/>
      <c r="D6" s="65"/>
      <c r="E6" s="65"/>
      <c r="F6" s="65"/>
      <c r="G6" s="65"/>
      <c r="H6" s="65"/>
    </row>
    <row r="7" spans="1:10" ht="44.25" customHeight="1" x14ac:dyDescent="0.2">
      <c r="A7" s="45" t="s">
        <v>56</v>
      </c>
      <c r="B7" s="66" t="s">
        <v>77</v>
      </c>
      <c r="C7" s="66"/>
      <c r="D7" s="46" t="s">
        <v>81</v>
      </c>
      <c r="E7" s="46" t="s">
        <v>82</v>
      </c>
      <c r="F7" s="67" t="s">
        <v>83</v>
      </c>
      <c r="G7" s="67"/>
      <c r="H7" s="47" t="s">
        <v>84</v>
      </c>
    </row>
    <row r="8" spans="1:10" ht="15" customHeight="1" x14ac:dyDescent="0.2">
      <c r="A8" s="29">
        <v>1</v>
      </c>
      <c r="B8" s="33" t="str">
        <f>'DANE '!B3</f>
        <v>Kamińska-Wierzchowska</v>
      </c>
      <c r="C8" s="33" t="str">
        <f>'DANE '!C3</f>
        <v>Karolina</v>
      </c>
      <c r="D8" s="48" t="s">
        <v>107</v>
      </c>
      <c r="E8" s="56">
        <v>45195</v>
      </c>
      <c r="F8" s="49" t="s">
        <v>85</v>
      </c>
      <c r="G8" s="50" t="s">
        <v>14</v>
      </c>
      <c r="H8" s="51" t="s">
        <v>87</v>
      </c>
    </row>
    <row r="9" spans="1:10" ht="15" customHeight="1" x14ac:dyDescent="0.2">
      <c r="A9" s="29">
        <v>2</v>
      </c>
      <c r="B9" s="33" t="str">
        <f>'DANE '!B4</f>
        <v>Faber</v>
      </c>
      <c r="C9" s="33" t="str">
        <f>'DANE '!C4</f>
        <v>Ewelina</v>
      </c>
      <c r="D9" s="48" t="str">
        <f>'DANE '!I4</f>
        <v>KPP/07/23/01</v>
      </c>
      <c r="E9" s="48" t="str">
        <f>'DANE '!J4</f>
        <v>01.10.2023</v>
      </c>
      <c r="F9" s="49" t="s">
        <v>85</v>
      </c>
      <c r="G9" s="50" t="s">
        <v>17</v>
      </c>
      <c r="H9" s="51" t="s">
        <v>87</v>
      </c>
    </row>
    <row r="10" spans="1:10" ht="15.75" customHeight="1" x14ac:dyDescent="0.2">
      <c r="A10" s="29">
        <v>3</v>
      </c>
      <c r="B10" s="33" t="str">
        <f>'DANE '!B5</f>
        <v>Łukowska</v>
      </c>
      <c r="C10" s="33" t="str">
        <f>'DANE '!C5</f>
        <v>Monika</v>
      </c>
      <c r="D10" s="48" t="str">
        <f>'DANE '!I5</f>
        <v>71/2023</v>
      </c>
      <c r="E10" s="48" t="str">
        <f>'DANE '!J5</f>
        <v>26.09.2023</v>
      </c>
      <c r="F10" s="49" t="s">
        <v>85</v>
      </c>
      <c r="G10" s="50" t="s">
        <v>19</v>
      </c>
      <c r="H10" s="51" t="s">
        <v>87</v>
      </c>
    </row>
    <row r="11" spans="1:10" ht="15" customHeight="1" x14ac:dyDescent="0.2">
      <c r="A11" s="29">
        <v>4</v>
      </c>
      <c r="B11" s="33" t="str">
        <f>'DANE '!B6</f>
        <v>Niemiro</v>
      </c>
      <c r="C11" s="33" t="str">
        <f>'DANE '!C6</f>
        <v>Maciej</v>
      </c>
      <c r="D11" s="48" t="str">
        <f>'DANE '!I6</f>
        <v>KPPE/OSP/14/2023/11/1.</v>
      </c>
      <c r="E11" s="48" t="str">
        <f>'DANE '!J6</f>
        <v>31.08.2023</v>
      </c>
      <c r="F11" s="49" t="s">
        <v>85</v>
      </c>
      <c r="G11" s="50" t="s">
        <v>21</v>
      </c>
      <c r="H11" s="51" t="s">
        <v>87</v>
      </c>
    </row>
    <row r="12" spans="1:10" x14ac:dyDescent="0.2">
      <c r="A12" s="29">
        <v>5</v>
      </c>
      <c r="B12" s="33" t="str">
        <f>'DANE '!B7</f>
        <v>Kiela</v>
      </c>
      <c r="C12" s="33" t="str">
        <f>'DANE '!C7</f>
        <v>Kamil</v>
      </c>
      <c r="D12" s="48" t="str">
        <f>'DANE '!I7</f>
        <v>KPP/R/06/23/04</v>
      </c>
      <c r="E12" s="48" t="str">
        <f>'DANE '!J7</f>
        <v>27.08.2023</v>
      </c>
      <c r="F12" s="49" t="s">
        <v>85</v>
      </c>
      <c r="G12" s="50" t="s">
        <v>23</v>
      </c>
      <c r="H12" s="51" t="s">
        <v>87</v>
      </c>
    </row>
    <row r="13" spans="1:10" hidden="1" x14ac:dyDescent="0.2">
      <c r="A13" s="29">
        <v>6</v>
      </c>
      <c r="B13" s="33">
        <f>'DANE '!B8</f>
        <v>0</v>
      </c>
      <c r="C13" s="33">
        <f>'DANE '!C8</f>
        <v>0</v>
      </c>
      <c r="D13" s="48">
        <f>'DANE '!I8</f>
        <v>0</v>
      </c>
      <c r="E13" s="48">
        <f>'DANE '!J8</f>
        <v>0</v>
      </c>
      <c r="F13" s="49" t="s">
        <v>85</v>
      </c>
      <c r="G13" s="50" t="s">
        <v>25</v>
      </c>
      <c r="H13" s="51" t="s">
        <v>87</v>
      </c>
    </row>
    <row r="14" spans="1:10" ht="15" hidden="1" customHeight="1" x14ac:dyDescent="0.2">
      <c r="A14" s="29">
        <v>7</v>
      </c>
      <c r="B14" s="33">
        <f>'DANE '!B9</f>
        <v>0</v>
      </c>
      <c r="C14" s="33">
        <f>'DANE '!C9</f>
        <v>0</v>
      </c>
      <c r="D14" s="48">
        <f>'DANE '!I9</f>
        <v>0</v>
      </c>
      <c r="E14" s="48">
        <f>'DANE '!J9</f>
        <v>0</v>
      </c>
      <c r="F14" s="49" t="s">
        <v>85</v>
      </c>
      <c r="G14" s="50" t="s">
        <v>27</v>
      </c>
      <c r="H14" s="51" t="s">
        <v>87</v>
      </c>
    </row>
    <row r="15" spans="1:10" ht="15" hidden="1" customHeight="1" x14ac:dyDescent="0.2">
      <c r="A15" s="29">
        <v>8</v>
      </c>
      <c r="B15" s="33">
        <f>'DANE '!B10</f>
        <v>0</v>
      </c>
      <c r="C15" s="33">
        <f>'DANE '!C10</f>
        <v>0</v>
      </c>
      <c r="D15" s="48">
        <f>'DANE '!I10</f>
        <v>0</v>
      </c>
      <c r="E15" s="48">
        <f>'DANE '!J10</f>
        <v>0</v>
      </c>
      <c r="F15" s="49" t="s">
        <v>85</v>
      </c>
      <c r="G15" s="50" t="s">
        <v>29</v>
      </c>
      <c r="H15" s="51" t="s">
        <v>87</v>
      </c>
    </row>
    <row r="16" spans="1:10" s="36" customFormat="1" ht="15" hidden="1" customHeight="1" x14ac:dyDescent="0.2">
      <c r="A16" s="29">
        <v>9</v>
      </c>
      <c r="B16" s="33">
        <f>'DANE '!B11</f>
        <v>0</v>
      </c>
      <c r="C16" s="33">
        <f>'DANE '!C11</f>
        <v>0</v>
      </c>
      <c r="D16" s="48">
        <f>'DANE '!I11</f>
        <v>0</v>
      </c>
      <c r="E16" s="48">
        <f>'DANE '!J11</f>
        <v>0</v>
      </c>
      <c r="F16" s="49" t="s">
        <v>85</v>
      </c>
      <c r="G16" s="50" t="s">
        <v>32</v>
      </c>
      <c r="H16" s="51" t="s">
        <v>76</v>
      </c>
    </row>
    <row r="17" spans="1:8" hidden="1" x14ac:dyDescent="0.2">
      <c r="A17" s="29">
        <v>10</v>
      </c>
      <c r="B17" s="33">
        <f>'DANE '!B12</f>
        <v>0</v>
      </c>
      <c r="C17" s="33">
        <f>'DANE '!C12</f>
        <v>0</v>
      </c>
      <c r="D17" s="48">
        <f>'DANE '!I12</f>
        <v>0</v>
      </c>
      <c r="E17" s="48">
        <f>'DANE '!J12</f>
        <v>0</v>
      </c>
      <c r="F17" s="49" t="s">
        <v>85</v>
      </c>
      <c r="G17" s="50" t="s">
        <v>35</v>
      </c>
      <c r="H17" s="51" t="s">
        <v>76</v>
      </c>
    </row>
    <row r="18" spans="1:8" hidden="1" x14ac:dyDescent="0.2">
      <c r="A18" s="29">
        <v>11</v>
      </c>
      <c r="B18" s="33">
        <f>'DANE '!B13</f>
        <v>0</v>
      </c>
      <c r="C18" s="33">
        <f>'DANE '!C13</f>
        <v>0</v>
      </c>
      <c r="D18" s="48">
        <f>'DANE '!I13</f>
        <v>0</v>
      </c>
      <c r="E18" s="48">
        <f>'DANE '!J13</f>
        <v>0</v>
      </c>
      <c r="F18" s="49" t="s">
        <v>85</v>
      </c>
      <c r="G18" s="50" t="s">
        <v>37</v>
      </c>
      <c r="H18" s="51" t="s">
        <v>76</v>
      </c>
    </row>
    <row r="19" spans="1:8" hidden="1" x14ac:dyDescent="0.2">
      <c r="A19" s="29">
        <v>13</v>
      </c>
      <c r="B19" s="33">
        <f>'DANE '!B14</f>
        <v>0</v>
      </c>
      <c r="C19" s="33">
        <f>'DANE '!C14</f>
        <v>0</v>
      </c>
      <c r="D19" s="48">
        <f>'DANE '!I14</f>
        <v>0</v>
      </c>
      <c r="E19" s="48">
        <f>'DANE '!J14</f>
        <v>0</v>
      </c>
      <c r="F19" s="49" t="s">
        <v>85</v>
      </c>
      <c r="G19" s="50" t="s">
        <v>38</v>
      </c>
      <c r="H19" s="51" t="s">
        <v>76</v>
      </c>
    </row>
    <row r="20" spans="1:8" hidden="1" x14ac:dyDescent="0.2">
      <c r="A20" s="29">
        <v>14</v>
      </c>
      <c r="B20" s="33">
        <f>'DANE '!B15</f>
        <v>0</v>
      </c>
      <c r="C20" s="33">
        <f>'DANE '!C15</f>
        <v>0</v>
      </c>
      <c r="D20" s="48">
        <f>'DANE '!I15</f>
        <v>0</v>
      </c>
      <c r="E20" s="48">
        <f>'DANE '!J15</f>
        <v>0</v>
      </c>
      <c r="F20" s="49" t="s">
        <v>85</v>
      </c>
      <c r="G20" s="50" t="s">
        <v>39</v>
      </c>
      <c r="H20" s="51" t="s">
        <v>76</v>
      </c>
    </row>
    <row r="21" spans="1:8" hidden="1" x14ac:dyDescent="0.2">
      <c r="A21" s="29">
        <v>15</v>
      </c>
      <c r="B21" s="33">
        <f>'DANE '!B16</f>
        <v>0</v>
      </c>
      <c r="C21" s="33">
        <f>'DANE '!C16</f>
        <v>0</v>
      </c>
      <c r="D21" s="48">
        <f>'DANE '!I16</f>
        <v>0</v>
      </c>
      <c r="E21" s="48">
        <f>'DANE '!J16</f>
        <v>0</v>
      </c>
      <c r="F21" s="49" t="s">
        <v>85</v>
      </c>
      <c r="G21" s="50" t="s">
        <v>40</v>
      </c>
      <c r="H21" s="51" t="s">
        <v>76</v>
      </c>
    </row>
    <row r="22" spans="1:8" hidden="1" x14ac:dyDescent="0.2">
      <c r="A22" s="29">
        <v>16</v>
      </c>
      <c r="B22" s="33">
        <f>'DANE '!B17</f>
        <v>0</v>
      </c>
      <c r="C22" s="33">
        <f>'DANE '!C17</f>
        <v>0</v>
      </c>
      <c r="D22" s="48">
        <f>'DANE '!I17</f>
        <v>0</v>
      </c>
      <c r="E22" s="48">
        <f>'DANE '!J17</f>
        <v>0</v>
      </c>
      <c r="F22" s="49" t="s">
        <v>85</v>
      </c>
      <c r="G22" s="50" t="s">
        <v>41</v>
      </c>
      <c r="H22" s="51" t="s">
        <v>76</v>
      </c>
    </row>
    <row r="23" spans="1:8" hidden="1" x14ac:dyDescent="0.2">
      <c r="A23" s="29">
        <v>17</v>
      </c>
      <c r="B23" s="33">
        <f>'DANE '!B18</f>
        <v>0</v>
      </c>
      <c r="C23" s="33">
        <f>'DANE '!C18</f>
        <v>0</v>
      </c>
      <c r="D23" s="48">
        <f>'DANE '!I18</f>
        <v>0</v>
      </c>
      <c r="E23" s="48">
        <f>'DANE '!J18</f>
        <v>0</v>
      </c>
      <c r="F23" s="49" t="s">
        <v>85</v>
      </c>
      <c r="G23" s="50" t="s">
        <v>42</v>
      </c>
      <c r="H23" s="51" t="s">
        <v>76</v>
      </c>
    </row>
    <row r="24" spans="1:8" hidden="1" x14ac:dyDescent="0.2">
      <c r="A24" s="29">
        <v>18</v>
      </c>
      <c r="B24" s="33">
        <f>'DANE '!B19</f>
        <v>0</v>
      </c>
      <c r="C24" s="33">
        <f>'DANE '!C19</f>
        <v>0</v>
      </c>
      <c r="D24" s="48">
        <f>'DANE '!I19</f>
        <v>0</v>
      </c>
      <c r="E24" s="48">
        <f>'DANE '!J19</f>
        <v>0</v>
      </c>
      <c r="F24" s="49" t="s">
        <v>85</v>
      </c>
      <c r="G24" s="50" t="s">
        <v>43</v>
      </c>
      <c r="H24" s="51" t="s">
        <v>76</v>
      </c>
    </row>
    <row r="25" spans="1:8" hidden="1" x14ac:dyDescent="0.2">
      <c r="A25" s="29">
        <v>19</v>
      </c>
      <c r="B25" s="33">
        <f>'DANE '!B20</f>
        <v>0</v>
      </c>
      <c r="C25" s="33">
        <f>'DANE '!C20</f>
        <v>0</v>
      </c>
      <c r="D25" s="48">
        <f>'DANE '!I20</f>
        <v>0</v>
      </c>
      <c r="E25" s="48">
        <f>'DANE '!J20</f>
        <v>0</v>
      </c>
      <c r="F25" s="49" t="s">
        <v>85</v>
      </c>
      <c r="G25" s="50" t="s">
        <v>44</v>
      </c>
      <c r="H25" s="51" t="s">
        <v>76</v>
      </c>
    </row>
    <row r="26" spans="1:8" hidden="1" x14ac:dyDescent="0.2">
      <c r="A26" s="29">
        <v>20</v>
      </c>
      <c r="B26" s="33">
        <f>'DANE '!B21</f>
        <v>0</v>
      </c>
      <c r="C26" s="33">
        <f>'DANE '!C21</f>
        <v>0</v>
      </c>
      <c r="D26" s="48">
        <f>'DANE '!I21</f>
        <v>0</v>
      </c>
      <c r="E26" s="48">
        <f>'DANE '!J21</f>
        <v>0</v>
      </c>
      <c r="F26" s="49" t="s">
        <v>85</v>
      </c>
      <c r="G26" s="50" t="s">
        <v>45</v>
      </c>
      <c r="H26" s="51" t="s">
        <v>76</v>
      </c>
    </row>
    <row r="27" spans="1:8" hidden="1" x14ac:dyDescent="0.2">
      <c r="A27" s="29">
        <v>21</v>
      </c>
      <c r="B27" s="33">
        <f>'DANE '!B22</f>
        <v>0</v>
      </c>
      <c r="C27" s="33">
        <f>'DANE '!C22</f>
        <v>0</v>
      </c>
      <c r="D27" s="48">
        <f>'DANE '!I22</f>
        <v>0</v>
      </c>
      <c r="E27" s="48">
        <f>'DANE '!J22</f>
        <v>0</v>
      </c>
      <c r="F27" s="49" t="s">
        <v>85</v>
      </c>
      <c r="G27" s="50" t="s">
        <v>46</v>
      </c>
      <c r="H27" s="51" t="s">
        <v>76</v>
      </c>
    </row>
    <row r="28" spans="1:8" hidden="1" x14ac:dyDescent="0.2">
      <c r="A28" s="29">
        <v>22</v>
      </c>
      <c r="B28" s="33">
        <f>'DANE '!B23</f>
        <v>0</v>
      </c>
      <c r="C28" s="33">
        <f>'DANE '!C23</f>
        <v>0</v>
      </c>
      <c r="D28" s="48">
        <f>'DANE '!I23</f>
        <v>0</v>
      </c>
      <c r="E28" s="48">
        <f>'DANE '!J23</f>
        <v>0</v>
      </c>
      <c r="F28" s="49" t="s">
        <v>85</v>
      </c>
      <c r="G28" s="50" t="s">
        <v>47</v>
      </c>
      <c r="H28" s="51" t="s">
        <v>76</v>
      </c>
    </row>
    <row r="29" spans="1:8" hidden="1" x14ac:dyDescent="0.2">
      <c r="A29" s="29">
        <v>23</v>
      </c>
      <c r="B29" s="33">
        <f>'DANE '!B24</f>
        <v>0</v>
      </c>
      <c r="C29" s="33">
        <f>'DANE '!C24</f>
        <v>0</v>
      </c>
      <c r="D29" s="48">
        <f>'DANE '!I24</f>
        <v>0</v>
      </c>
      <c r="E29" s="48">
        <f>'DANE '!J24</f>
        <v>0</v>
      </c>
      <c r="F29" s="49" t="s">
        <v>85</v>
      </c>
      <c r="G29" s="50" t="s">
        <v>48</v>
      </c>
      <c r="H29" s="51" t="s">
        <v>76</v>
      </c>
    </row>
    <row r="30" spans="1:8" hidden="1" x14ac:dyDescent="0.2">
      <c r="A30" s="29">
        <v>24</v>
      </c>
      <c r="B30" s="33">
        <f>'DANE '!B25</f>
        <v>0</v>
      </c>
      <c r="C30" s="33">
        <f>'DANE '!C25</f>
        <v>0</v>
      </c>
      <c r="D30" s="48">
        <f>'DANE '!I25</f>
        <v>0</v>
      </c>
      <c r="E30" s="48">
        <f>'DANE '!J25</f>
        <v>0</v>
      </c>
      <c r="F30" s="49" t="s">
        <v>85</v>
      </c>
      <c r="G30" s="50" t="s">
        <v>49</v>
      </c>
      <c r="H30" s="51" t="s">
        <v>76</v>
      </c>
    </row>
    <row r="31" spans="1:8" hidden="1" x14ac:dyDescent="0.2">
      <c r="A31" s="29">
        <v>25</v>
      </c>
      <c r="B31" s="33">
        <f>'DANE '!B26</f>
        <v>0</v>
      </c>
      <c r="C31" s="33">
        <f>'DANE '!C26</f>
        <v>0</v>
      </c>
      <c r="D31" s="48">
        <f>'DANE '!I26</f>
        <v>0</v>
      </c>
      <c r="E31" s="48">
        <f>'DANE '!J26</f>
        <v>0</v>
      </c>
      <c r="F31" s="49" t="s">
        <v>85</v>
      </c>
      <c r="G31" s="50" t="s">
        <v>50</v>
      </c>
      <c r="H31" s="51" t="s">
        <v>76</v>
      </c>
    </row>
    <row r="32" spans="1:8" hidden="1" x14ac:dyDescent="0.2">
      <c r="A32" s="29">
        <v>26</v>
      </c>
      <c r="B32" s="33">
        <f>'DANE '!B27</f>
        <v>0</v>
      </c>
      <c r="C32" s="33">
        <f>'DANE '!C27</f>
        <v>0</v>
      </c>
      <c r="D32" s="48">
        <f>'DANE '!I27</f>
        <v>0</v>
      </c>
      <c r="E32" s="48">
        <f>'DANE '!J27</f>
        <v>0</v>
      </c>
      <c r="F32" s="49" t="s">
        <v>85</v>
      </c>
      <c r="G32" s="50" t="s">
        <v>51</v>
      </c>
      <c r="H32" s="51" t="s">
        <v>76</v>
      </c>
    </row>
    <row r="33" spans="1:8" hidden="1" x14ac:dyDescent="0.2">
      <c r="A33" s="29">
        <v>27</v>
      </c>
      <c r="B33" s="33">
        <f>'DANE '!B28</f>
        <v>0</v>
      </c>
      <c r="C33" s="33">
        <f>'DANE '!C28</f>
        <v>0</v>
      </c>
      <c r="D33" s="48">
        <f>'DANE '!I28</f>
        <v>0</v>
      </c>
      <c r="E33" s="48">
        <f>'DANE '!J28</f>
        <v>0</v>
      </c>
      <c r="F33" s="49" t="s">
        <v>85</v>
      </c>
      <c r="G33" s="50" t="s">
        <v>52</v>
      </c>
      <c r="H33" s="51" t="s">
        <v>76</v>
      </c>
    </row>
  </sheetData>
  <sheetProtection selectLockedCells="1" selectUnlockedCells="1"/>
  <mergeCells count="4">
    <mergeCell ref="A1:H3"/>
    <mergeCell ref="A6:H6"/>
    <mergeCell ref="B7:C7"/>
    <mergeCell ref="F7:G7"/>
  </mergeCells>
  <pageMargins left="0.7" right="0.7" top="0.75" bottom="0.75" header="0.51180555555555551" footer="0.51180555555555551"/>
  <pageSetup paperSize="9" firstPageNumber="0" orientation="landscape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5</vt:i4>
      </vt:variant>
      <vt:variant>
        <vt:lpstr>Nazwane zakresy</vt:lpstr>
      </vt:variant>
      <vt:variant>
        <vt:i4>2</vt:i4>
      </vt:variant>
    </vt:vector>
  </HeadingPairs>
  <TitlesOfParts>
    <vt:vector size="7" baseType="lpstr">
      <vt:lpstr>DANE </vt:lpstr>
      <vt:lpstr>EGZ Teoria</vt:lpstr>
      <vt:lpstr>EGZ praktyczny</vt:lpstr>
      <vt:lpstr>EGZ ZBIORCZY</vt:lpstr>
      <vt:lpstr>Arkusz1</vt:lpstr>
      <vt:lpstr>'DANE '!Obszar_wydruku</vt:lpstr>
      <vt:lpstr>'EGZ ZBIORCZY'!Obszar_wydruku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Patryk Karpiński</cp:lastModifiedBy>
  <cp:lastPrinted>2026-09-09T15:23:58Z</cp:lastPrinted>
  <dcterms:created xsi:type="dcterms:W3CDTF">2026-09-10T16:28:01Z</dcterms:created>
  <dcterms:modified xsi:type="dcterms:W3CDTF">2026-09-10T16:28:01Z</dcterms:modified>
</cp:coreProperties>
</file>