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 Programowanie\McMed\backend\documents\templates\"/>
    </mc:Choice>
  </mc:AlternateContent>
  <xr:revisionPtr revIDLastSave="0" documentId="13_ncr:1_{E2D854C1-4C19-42E3-816A-4924D9236302}" xr6:coauthVersionLast="47" xr6:coauthVersionMax="47" xr10:uidLastSave="{00000000-0000-0000-0000-000000000000}"/>
  <bookViews>
    <workbookView xWindow="-120" yWindow="-120" windowWidth="29040" windowHeight="15720" firstSheet="2" activeTab="6" xr2:uid="{B7E1E0D0-F5D8-4DF0-9380-8F3582E03AC5}"/>
  </bookViews>
  <sheets>
    <sheet name="DANE_PODSTAWOWE" sheetId="1" r:id="rId1"/>
    <sheet name="DANE_KURSANTÓW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LISTA_OBECNOŚCI" sheetId="9" r:id="rId9"/>
  </sheets>
  <definedNames>
    <definedName name="_xlnm.Print_Area" localSheetId="2">'1'!$A$1:$J$28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9" l="1"/>
  <c r="B9" i="9"/>
  <c r="B8" i="9"/>
  <c r="B7" i="9"/>
  <c r="B6" i="9"/>
  <c r="B5" i="9"/>
  <c r="I3" i="8"/>
  <c r="I3" i="7"/>
  <c r="I5" i="6"/>
  <c r="I3" i="5"/>
  <c r="G30" i="9"/>
  <c r="G23" i="9"/>
  <c r="G21" i="9"/>
  <c r="G17" i="9"/>
  <c r="B11" i="9"/>
  <c r="I25" i="8"/>
  <c r="I23" i="8"/>
  <c r="I21" i="8"/>
  <c r="I19" i="8"/>
  <c r="I17" i="8"/>
  <c r="I13" i="8"/>
  <c r="I11" i="8"/>
  <c r="I9" i="8"/>
  <c r="I7" i="8"/>
  <c r="I5" i="8"/>
  <c r="I25" i="7"/>
  <c r="I23" i="7"/>
  <c r="I21" i="7"/>
  <c r="I19" i="7"/>
  <c r="I17" i="7"/>
  <c r="I13" i="7"/>
  <c r="I11" i="7"/>
  <c r="I5" i="7"/>
  <c r="I25" i="6"/>
  <c r="I23" i="6"/>
  <c r="I21" i="6"/>
  <c r="I19" i="6"/>
  <c r="I17" i="6"/>
  <c r="I13" i="6"/>
  <c r="I11" i="6"/>
  <c r="I9" i="6"/>
  <c r="I7" i="6"/>
  <c r="I25" i="5"/>
  <c r="I23" i="5"/>
  <c r="I21" i="5"/>
  <c r="I19" i="5"/>
  <c r="I17" i="5"/>
  <c r="I13" i="5"/>
  <c r="I11" i="5"/>
  <c r="I9" i="5"/>
  <c r="I7" i="5"/>
  <c r="I5" i="5"/>
  <c r="H23" i="7" l="1"/>
</calcChain>
</file>

<file path=xl/sharedStrings.xml><?xml version="1.0" encoding="utf-8"?>
<sst xmlns="http://schemas.openxmlformats.org/spreadsheetml/2006/main" count="575" uniqueCount="133">
  <si>
    <t xml:space="preserve">Instruktor  gr 1 </t>
  </si>
  <si>
    <t>{{instructor_1_name}}</t>
  </si>
  <si>
    <t>Instruktor  gr 2</t>
  </si>
  <si>
    <t>{{instructor_2_name}}</t>
  </si>
  <si>
    <t>Instruktor  gr 3</t>
  </si>
  <si>
    <t>Instruktor  gr 4</t>
  </si>
  <si>
    <t>Instruktor  gr 5</t>
  </si>
  <si>
    <t>Bartosz Supiński</t>
  </si>
  <si>
    <t>Psycholog</t>
  </si>
  <si>
    <t>Emilia Wyszołek</t>
  </si>
  <si>
    <t>MIEJSCE KURSU</t>
  </si>
  <si>
    <t>12-200 Pisz, ul. Wąglicka 1</t>
  </si>
  <si>
    <t>MIEJSCE EGZAMINU</t>
  </si>
  <si>
    <t>LP.</t>
  </si>
  <si>
    <t xml:space="preserve">Email </t>
  </si>
  <si>
    <t>Nazwisko</t>
  </si>
  <si>
    <t xml:space="preserve">Imiona </t>
  </si>
  <si>
    <t xml:space="preserve">Tel. </t>
  </si>
  <si>
    <t xml:space="preserve">Pesel </t>
  </si>
  <si>
    <t xml:space="preserve">Adres </t>
  </si>
  <si>
    <t>Zaliczka</t>
  </si>
  <si>
    <t xml:space="preserve">Wpłata na kursie </t>
  </si>
  <si>
    <t>Data</t>
  </si>
  <si>
    <t>Godzina kursu</t>
  </si>
  <si>
    <t>Godzina</t>
  </si>
  <si>
    <t>Grupa 1</t>
  </si>
  <si>
    <t>Grupa 2</t>
  </si>
  <si>
    <t>Grupa 3</t>
  </si>
  <si>
    <t>Grupa 4</t>
  </si>
  <si>
    <t>Grupa 5</t>
  </si>
  <si>
    <t>Miejsce realizacji zajęć</t>
  </si>
  <si>
    <t>8:00-9:00</t>
  </si>
  <si>
    <t>Bezpieczeństwo własne, poszkodowanego, miejsca zdarzenia. (wykład)</t>
  </si>
  <si>
    <t>(miejscowość, ulica, nr lokalu/nazwa instytucji, nr sali)</t>
  </si>
  <si>
    <t>Instruktor</t>
  </si>
  <si>
    <t>9:05-10:05</t>
  </si>
  <si>
    <t>10:10-11:10</t>
  </si>
  <si>
    <t>Organizacja ratownictwa medycznego – podstawy prawne. (wykład)</t>
  </si>
  <si>
    <t>11:15-12:15</t>
  </si>
  <si>
    <t>Poszkodowanay nieprzytomny. (wykład)</t>
  </si>
  <si>
    <t>12:20-13:20</t>
  </si>
  <si>
    <t>Zestawy ratownicze, dezynfekcja sprzętu. (wykład)</t>
  </si>
  <si>
    <t>13:25-14:25</t>
  </si>
  <si>
    <t>14:30-15:30</t>
  </si>
  <si>
    <t>Przerwa</t>
  </si>
  <si>
    <t>15:35-16:35</t>
  </si>
  <si>
    <t>Elementy anatomii i fizjologii, ocena poszkodowanego, badanie wstępne oraz szczegółowe. (wykład)</t>
  </si>
  <si>
    <t>16:40-17:40</t>
  </si>
  <si>
    <t>17:45-18:45</t>
  </si>
  <si>
    <t>Urazy mechaniczne i obrażenia –złamania, zwichnięcia, skręcenia, krwotoki, obrażenia klatki piersiowej, brzucha, kręgosłupa, głowy i kończyn. (wykład)</t>
  </si>
  <si>
    <t>18:50-19:50</t>
  </si>
  <si>
    <t>19:55-20:55</t>
  </si>
  <si>
    <t>Legenda:</t>
  </si>
  <si>
    <t>Urazy chemiczne, termiczne, elektryczne i obrażenia, zagrożenia środowiskowe, akty terroru. (wykład)</t>
  </si>
  <si>
    <t>Ewakuacja ze strefy zagrożenia. (wykład)</t>
  </si>
  <si>
    <t>Inne stany nagłe - drgawki, cukrzyca, zawał mięśnia sercowego, udar mózgowy, zatrucia podtopienia.</t>
  </si>
  <si>
    <t>Wstrząs. (wykład)</t>
  </si>
  <si>
    <t>Resuscytacja (dorosły, dziecko, niemowlę, noworodek, sytuacje szczególne). (wykład)</t>
  </si>
  <si>
    <t>Zasady defibrylacji poszkodowanego metodą półautomatyczn a i automatyczną. (wykład)</t>
  </si>
  <si>
    <t>Zestawy ratownicze, dezynfekcja sprzętu (ćwiczenia)</t>
  </si>
  <si>
    <t>Bezpieczeństwo własne, poszkodowanego, miejsca zdarzenia. (ćwiczenia)</t>
  </si>
  <si>
    <t>Elementy anatomii i fizjologii, ocena poszkodowanego, badanie wstępne oraz szczegółowe. (ćwiczenia)</t>
  </si>
  <si>
    <t>Ewakuacja ze strefy zagrożenia. (ćwiczenia)</t>
  </si>
  <si>
    <t>Poszkodowany nieprzytomny. (ćwiczenia)</t>
  </si>
  <si>
    <t>Resuscytacja (dorosły, dziecko, niemowlę, noworodek, sytuacje szczególne). (ćwiczenia)</t>
  </si>
  <si>
    <t>Zasady defibrylacji poszkodowanego metodą półautomatyczn a i automatyczną. (ćwiczenia)</t>
  </si>
  <si>
    <t>,</t>
  </si>
  <si>
    <t>Psychologiczne aspekty wsparcia poszkodowanych. (wykład) Emilia Wyszołek</t>
  </si>
  <si>
    <t>Psycholog (ćwiczenia)</t>
  </si>
  <si>
    <t>RKO (ćwiczenia)</t>
  </si>
  <si>
    <t>Urazy</t>
  </si>
  <si>
    <t>RKO</t>
  </si>
  <si>
    <t>RKO - Resuscytacja (dorosły, dziecko, niemowlę, noworodek, sytuacje szczególne). (ćwiczenia)</t>
  </si>
  <si>
    <t>Urazy - Urazy mechaniczne i obrażenia - złamania, zwichnięcia, skręcenia, krwotoki, obrażenia klatki piersiowej, brzucha, kręgosłupa, głowy i kończyn. (ćwiczenia)</t>
  </si>
  <si>
    <t>Psycholog - Psychologiczne aspekty wsparcia poszkodowanych.</t>
  </si>
  <si>
    <t>Urazy mechaniczne i obrażenia - złamania, zwichnięcia, skręcenia, krwotoki, obrażenia klatki piersiowej, brzucha, kręgosłupa, głowy i kończyn. (ćwiczenia)</t>
  </si>
  <si>
    <t>Taktyka działań ratowniczych - zdarzenie masowe, mnogie, pojedyńcze, segregacja wstępna, karta udzielonej pomocy, logistyka. (wykład)</t>
  </si>
  <si>
    <t>Taktyka działań ratowniczych - zdarzenie masowe, mnogie, pojedyńcze, segregacja wstępna, karta udzielonej pomocy, logistyka. (ćwiczenia)</t>
  </si>
  <si>
    <t>Urazy chemiczne, termiczne, elektryczne i obrażenia, zagrożenia środowiskowe, akty terroru. (ćwiczenia)</t>
  </si>
  <si>
    <t>7:00-8:00</t>
  </si>
  <si>
    <t>Resucytacja (dorosły, dziecko, niemowlę, noworodek, sytuacje szczególne). (ćwiczenia)</t>
  </si>
  <si>
    <t>8:05-9:05</t>
  </si>
  <si>
    <t>9:10-10:10</t>
  </si>
  <si>
    <t>Zasady defibrylacje poszkodowanego metodą półautomatyczną i automatyczną. (ćwiczenia)</t>
  </si>
  <si>
    <t>10:15-11:15</t>
  </si>
  <si>
    <t>11:20-12:20</t>
  </si>
  <si>
    <t>Udzielanie kwalifikowanej pierwszej pomocy. (ćwiczenia)</t>
  </si>
  <si>
    <t>12:25-13:25</t>
  </si>
  <si>
    <t>13:30-14:30</t>
  </si>
  <si>
    <t>14:35-15:35</t>
  </si>
  <si>
    <t>15:40-16:40</t>
  </si>
  <si>
    <t>16:45-17:45</t>
  </si>
  <si>
    <t>17:50-18:50</t>
  </si>
  <si>
    <t>18:55-19:55</t>
  </si>
  <si>
    <t>…............................................…...........................................................................................................................</t>
  </si>
  <si>
    <t xml:space="preserve">Nazwisko i Imię </t>
  </si>
  <si>
    <t>dzień</t>
  </si>
  <si>
    <t xml:space="preserve">data 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</si>
  <si>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</si>
  <si>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</si>
  <si>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</si>
  <si>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</si>
  <si>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</si>
  <si>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</si>
  <si>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</si>
  <si>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</si>
  <si>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</si>
  <si>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</si>
  <si>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</si>
  <si>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godzina zajęć</t>
  </si>
  <si>
    <t>I</t>
  </si>
  <si>
    <t>II</t>
  </si>
  <si>
    <t>III</t>
  </si>
  <si>
    <t>IV</t>
  </si>
  <si>
    <t>V</t>
  </si>
  <si>
    <t>VI</t>
  </si>
  <si>
    <t>Egzamin</t>
  </si>
  <si>
    <t>EGZAMIN</t>
  </si>
  <si>
    <t>1. Zapoznałem się z harmonogram zajęć, programem nauczania zgodnymi z Ustawą z  dnia 8 września 2006 r. o Państwowym Ratownictwie Medycznym (Dz. U. z dnia 20 październik 2006r. Nr 191, póz. 1410) orazObwieszczenie Ministra Zdrowia z dnia 24 lutego 2021 r. w sprawie ogłoszenia jednolitego tekstu rozporządzenia Ministra Zdrowia w sprawie kursu w zakresie kwalifikowanej pierwszej pomocy (tj. Dz.U. 2021 poz. 411)</t>
  </si>
  <si>
    <t>…............................................…............................................................................................</t>
  </si>
  <si>
    <t>2.Potwierdzam odbiór materiałów dydaktycznych otrzymanych drogą mailową</t>
  </si>
  <si>
    <t>3. Wyrażam zgodę na nieodpłatną i nieograniczoną czasowo i miejscowo publikację i rozpowszechnianie mojego wizerunku(na zdjęciach wykonanych podczas kursu KPP) przez Administratora Danych Osobowych, którym jest  Firma Mc Med, dla celów marketingowych (w tym promocyjnych i reklamowych) związanych z działalnością Administratora danych osobowych.</t>
  </si>
  <si>
    <r>
      <t xml:space="preserve">4. Na podstawie art. 6 ust. 1 lit. a wyrażam zgodę na przetwarzanie danych osobowych w świetle Rozporządzenia Parlamentu Europejskiego i Rady (UE) 2016/679 z dnia 27 kwietnia 2016 r.  w sprawie ochrony osób fizycznych w związku z przetwarzaniem danych osobowych i w sprawie swobodnego przepływu takich danych oraz uchylenia dyrektywy 95/46/WE (ogólne rozporządzenie o ochronie danych – RODO, Dz. U. UE. L. 2016.119.1 z dnia 4 maja 2016 r.) zawartych w przedstawionych przeze mnie dokumentach dla potrzeb niezbędnych do celów związanych z procedurą przeprowadzenia kursu kwalifikowanej pierwszej pomocy. </t>
    </r>
    <r>
      <rPr>
        <b/>
        <u/>
        <sz val="9"/>
        <color rgb="FF000000"/>
        <rFont val="Calibri"/>
        <family val="2"/>
        <charset val="238"/>
      </rPr>
      <t>Firma Mc Med posiada obowiązek przechowywania dokumentacji związanej z kursem KPP przez okres 5 lat.</t>
    </r>
    <r>
      <rPr>
        <sz val="9"/>
        <color rgb="FF000000"/>
        <rFont val="Calibri"/>
        <family val="2"/>
        <charset val="238"/>
      </rPr>
      <t xml:space="preserve"> Po tym okresie wszelkie dane osobowe oraz dokumentajca kursu zostanie zniszczona zgoddnie z należytą starannością by niedpuścić do wycieku danych osobowych. Administrator danych osobowych zastrzega sobie możliwość usunięcia danych osobowych na pisemny wniosek ich właściciela lub obligatoryjnie w okresie 5 lat od dnia egzaminu. </t>
    </r>
  </si>
  <si>
    <t>{{instructor_3_name}}</t>
  </si>
  <si>
    <t>{{instructor_4_name}}</t>
  </si>
  <si>
    <t>{{psychologist}}</t>
  </si>
  <si>
    <t>{{course_days.0}}</t>
  </si>
  <si>
    <t>{{course_days.1}}</t>
  </si>
  <si>
    <t>{{course_days.2}}</t>
  </si>
  <si>
    <t>{{course_days.3}}</t>
  </si>
  <si>
    <t>{{course_days.4}}</t>
  </si>
  <si>
    <t>{{course_days.5}}</t>
  </si>
  <si>
    <t>{{ address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</si>
</sst>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.&quot;mm&quot;.&quot;yyyy"/>
    <numFmt numFmtId="165" formatCode="dd&quot;.&quot;mm&quot;.&quot;yyyy"/>
  </numFmts>
  <fonts count="27" x14ac:knownFonts="1">
    <font>
      <sz val="11"/>
      <color rgb="FF000000"/>
      <name val="Calibri"/>
      <family val="2"/>
      <charset val="238"/>
    </font>
    <font>
      <b/>
      <sz val="12"/>
      <color rgb="FF000000"/>
      <name val="Times New Roman"/>
      <family val="1"/>
      <charset val="238"/>
    </font>
    <font>
      <sz val="10"/>
      <color rgb="FF434343"/>
      <name val="Roboto"/>
      <charset val="238"/>
    </font>
    <font>
      <sz val="10"/>
      <color rgb="FF000000"/>
      <name val="Arial"/>
      <family val="2"/>
      <charset val="238"/>
    </font>
    <font>
      <sz val="10"/>
      <color rgb="FF434343"/>
      <name val="Arial"/>
      <family val="2"/>
      <charset val="238"/>
    </font>
    <font>
      <sz val="11"/>
      <color rgb="FF000000"/>
      <name val="Arial"/>
      <family val="2"/>
      <charset val="238"/>
    </font>
    <font>
      <sz val="9"/>
      <color rgb="FF374151"/>
      <name val="Arial"/>
      <family val="2"/>
      <charset val="238"/>
    </font>
    <font>
      <sz val="10"/>
      <color rgb="FF000000"/>
      <name val="Times New Roman"/>
      <family val="1"/>
      <charset val="238"/>
    </font>
    <font>
      <sz val="14"/>
      <color rgb="FF000000"/>
      <name val="Arial"/>
      <family val="2"/>
      <charset val="238"/>
    </font>
    <font>
      <sz val="12"/>
      <color rgb="FF374151"/>
      <name val="Arial"/>
      <family val="2"/>
      <charset val="238"/>
    </font>
    <font>
      <sz val="10"/>
      <color rgb="FF374151"/>
      <name val="Arial"/>
      <family val="2"/>
      <charset val="238"/>
    </font>
    <font>
      <sz val="8"/>
      <color rgb="FF000000"/>
      <name val="Times New Roman"/>
      <family val="1"/>
      <charset val="238"/>
    </font>
    <font>
      <sz val="9"/>
      <color rgb="FF374151"/>
      <name val="Segoe UI"/>
      <family val="2"/>
      <charset val="238"/>
    </font>
    <font>
      <sz val="12"/>
      <color rgb="FF000000"/>
      <name val="Times New Roman"/>
      <family val="1"/>
      <charset val="238"/>
    </font>
    <font>
      <sz val="12"/>
      <color rgb="FF000000"/>
      <name val="Calibri"/>
      <family val="2"/>
      <charset val="238"/>
    </font>
    <font>
      <sz val="5"/>
      <color rgb="FF374151"/>
      <name val="Arial"/>
      <family val="2"/>
      <charset val="238"/>
    </font>
    <font>
      <sz val="5"/>
      <color rgb="FF000000"/>
      <name val="Calibri"/>
      <family val="2"/>
      <charset val="238"/>
    </font>
    <font>
      <sz val="12"/>
      <color rgb="FF000000"/>
      <name val="Arial"/>
      <family val="2"/>
      <charset val="238"/>
    </font>
    <font>
      <sz val="5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b/>
      <sz val="5"/>
      <color rgb="FF000000"/>
      <name val="Arial"/>
      <family val="2"/>
      <charset val="238"/>
    </font>
    <font>
      <sz val="8"/>
      <color rgb="FF000000"/>
      <name val="Calibri"/>
      <family val="2"/>
      <charset val="238"/>
    </font>
    <font>
      <sz val="4"/>
      <color rgb="FF000000"/>
      <name val="Arial"/>
      <family val="2"/>
      <charset val="238"/>
    </font>
    <font>
      <strike/>
      <sz val="12"/>
      <color rgb="FF000000"/>
      <name val="Arial"/>
      <family val="2"/>
      <charset val="238"/>
    </font>
    <font>
      <sz val="10"/>
      <color rgb="FF000000"/>
      <name val="Calibri"/>
      <family val="2"/>
      <charset val="238"/>
    </font>
    <font>
      <sz val="9"/>
      <color rgb="FF000000"/>
      <name val="Calibri"/>
      <family val="2"/>
      <charset val="238"/>
    </font>
    <font>
      <b/>
      <u/>
      <sz val="9"/>
      <color rgb="FF000000"/>
      <name val="Calibri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FEFEF"/>
        <bgColor rgb="FFEFEFEF"/>
      </patternFill>
    </fill>
    <fill>
      <patternFill patternType="solid">
        <fgColor rgb="FFF7F7F8"/>
        <bgColor rgb="FFF7F7F8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B4C6E7"/>
        <bgColor rgb="FFB4C6E7"/>
      </patternFill>
    </fill>
    <fill>
      <patternFill patternType="solid">
        <fgColor rgb="FFB5E6A2"/>
        <bgColor rgb="FFB5E6A2"/>
      </patternFill>
    </fill>
    <fill>
      <patternFill patternType="solid">
        <fgColor rgb="FFF7C7AC"/>
        <bgColor rgb="FFF7C7AC"/>
      </patternFill>
    </fill>
    <fill>
      <patternFill patternType="solid">
        <fgColor rgb="FF83E28E"/>
        <bgColor rgb="FF83E28E"/>
      </patternFill>
    </fill>
    <fill>
      <patternFill patternType="solid">
        <fgColor rgb="FFF1A983"/>
        <bgColor rgb="FFF1A983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FFF00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9900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F0000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0000"/>
      </bottom>
      <diagonal/>
    </border>
    <border>
      <left style="medium">
        <color rgb="FFF8F9FA"/>
      </left>
      <right style="medium">
        <color rgb="FFF8F9FA"/>
      </right>
      <top style="medium">
        <color rgb="FFFF0000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F0000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165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13" fillId="0" borderId="0" xfId="0" applyFont="1"/>
    <xf numFmtId="0" fontId="14" fillId="0" borderId="0" xfId="0" applyFont="1"/>
    <xf numFmtId="0" fontId="9" fillId="5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9" fillId="12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vertical="center" wrapText="1"/>
    </xf>
    <xf numFmtId="49" fontId="0" fillId="0" borderId="0" xfId="0" applyNumberFormat="1"/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164" fontId="0" fillId="0" borderId="18" xfId="0" applyNumberFormat="1" applyBorder="1" applyAlignment="1">
      <alignment horizontal="center" vertical="center"/>
    </xf>
    <xf numFmtId="0" fontId="22" fillId="0" borderId="24" xfId="0" applyFont="1" applyBorder="1" applyAlignment="1">
      <alignment horizontal="right"/>
    </xf>
    <xf numFmtId="0" fontId="22" fillId="0" borderId="25" xfId="0" applyFont="1" applyBorder="1" applyAlignment="1">
      <alignment horizontal="right"/>
    </xf>
    <xf numFmtId="0" fontId="22" fillId="0" borderId="26" xfId="0" applyFont="1" applyBorder="1" applyAlignment="1">
      <alignment horizontal="right"/>
    </xf>
    <xf numFmtId="0" fontId="17" fillId="0" borderId="27" xfId="0" applyFont="1" applyBorder="1" applyAlignment="1">
      <alignment horizontal="center"/>
    </xf>
    <xf numFmtId="0" fontId="22" fillId="0" borderId="28" xfId="0" applyFont="1" applyBorder="1" applyAlignment="1">
      <alignment horizontal="right"/>
    </xf>
    <xf numFmtId="0" fontId="22" fillId="0" borderId="1" xfId="0" applyFont="1" applyBorder="1" applyAlignment="1">
      <alignment horizontal="right"/>
    </xf>
    <xf numFmtId="0" fontId="22" fillId="0" borderId="29" xfId="0" applyFont="1" applyBorder="1" applyAlignment="1">
      <alignment horizontal="right"/>
    </xf>
    <xf numFmtId="0" fontId="22" fillId="0" borderId="30" xfId="0" applyFont="1" applyBorder="1" applyAlignment="1">
      <alignment horizontal="right"/>
    </xf>
    <xf numFmtId="0" fontId="22" fillId="0" borderId="31" xfId="0" applyFont="1" applyBorder="1" applyAlignment="1">
      <alignment horizontal="right"/>
    </xf>
    <xf numFmtId="0" fontId="22" fillId="0" borderId="32" xfId="0" applyFont="1" applyBorder="1" applyAlignment="1">
      <alignment horizontal="right"/>
    </xf>
    <xf numFmtId="0" fontId="17" fillId="0" borderId="3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23" fillId="0" borderId="34" xfId="0" applyFont="1" applyBorder="1" applyAlignment="1">
      <alignment horizontal="center"/>
    </xf>
    <xf numFmtId="0" fontId="22" fillId="0" borderId="35" xfId="0" applyFont="1" applyBorder="1" applyAlignment="1">
      <alignment horizontal="right"/>
    </xf>
    <xf numFmtId="0" fontId="24" fillId="0" borderId="0" xfId="0" applyFont="1" applyAlignment="1">
      <alignment wrapText="1"/>
    </xf>
    <xf numFmtId="0" fontId="24" fillId="0" borderId="0" xfId="0" applyFont="1"/>
    <xf numFmtId="164" fontId="24" fillId="0" borderId="0" xfId="0" applyNumberFormat="1" applyFont="1"/>
    <xf numFmtId="0" fontId="24" fillId="0" borderId="0" xfId="0" applyFont="1" applyAlignment="1">
      <alignment vertical="center" wrapText="1"/>
    </xf>
    <xf numFmtId="165" fontId="8" fillId="0" borderId="1" xfId="0" applyNumberFormat="1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 wrapText="1"/>
    </xf>
    <xf numFmtId="0" fontId="0" fillId="0" borderId="1" xfId="0" applyBorder="1"/>
    <xf numFmtId="0" fontId="6" fillId="5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0" fillId="0" borderId="0" xfId="0"/>
    <xf numFmtId="0" fontId="7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0" fillId="10" borderId="1" xfId="0" applyFill="1" applyBorder="1"/>
    <xf numFmtId="0" fontId="6" fillId="1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5" fillId="14" borderId="1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right" vertical="top" wrapText="1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24" fillId="0" borderId="0" xfId="0" applyFont="1" applyAlignment="1">
      <alignment horizontal="left" vertical="top" wrapText="1"/>
    </xf>
  </cellXfs>
  <cellStyles count="1">
    <cellStyle name="Normalny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E903-C042-4F1F-82F4-C990E3230405}">
  <dimension ref="A1:H10"/>
  <sheetViews>
    <sheetView workbookViewId="0">
      <selection activeCell="H16" sqref="H16"/>
    </sheetView>
  </sheetViews>
  <sheetFormatPr defaultRowHeight="15" x14ac:dyDescent="0.25"/>
  <cols>
    <col min="1" max="1" width="9.140625" customWidth="1"/>
    <col min="2" max="2" width="10.42578125" bestFit="1" customWidth="1"/>
    <col min="3" max="6" width="9.140625" customWidth="1"/>
    <col min="7" max="7" width="18.42578125" customWidth="1"/>
    <col min="8" max="8" width="27.42578125" customWidth="1"/>
    <col min="9" max="9" width="9.140625" customWidth="1"/>
  </cols>
  <sheetData>
    <row r="1" spans="1:8" x14ac:dyDescent="0.25">
      <c r="A1">
        <v>1</v>
      </c>
      <c r="B1" s="1">
        <v>46171</v>
      </c>
      <c r="G1" t="s">
        <v>0</v>
      </c>
      <c r="H1" t="s">
        <v>1</v>
      </c>
    </row>
    <row r="2" spans="1:8" x14ac:dyDescent="0.25">
      <c r="A2">
        <v>2</v>
      </c>
      <c r="B2" s="1">
        <v>46172</v>
      </c>
      <c r="G2" t="s">
        <v>2</v>
      </c>
      <c r="H2" t="s">
        <v>3</v>
      </c>
    </row>
    <row r="3" spans="1:8" x14ac:dyDescent="0.25">
      <c r="A3">
        <v>3</v>
      </c>
      <c r="B3" s="1">
        <v>46173</v>
      </c>
      <c r="G3" t="s">
        <v>4</v>
      </c>
      <c r="H3" t="s">
        <v>123</v>
      </c>
    </row>
    <row r="4" spans="1:8" x14ac:dyDescent="0.25">
      <c r="A4">
        <v>4</v>
      </c>
      <c r="B4" s="1">
        <v>46178</v>
      </c>
      <c r="G4" t="s">
        <v>5</v>
      </c>
      <c r="H4" t="s">
        <v>124</v>
      </c>
    </row>
    <row r="5" spans="1:8" x14ac:dyDescent="0.25">
      <c r="A5">
        <v>5</v>
      </c>
      <c r="B5" s="1">
        <v>46179</v>
      </c>
      <c r="G5" t="s">
        <v>6</v>
      </c>
      <c r="H5" t="s">
        <v>7</v>
      </c>
    </row>
    <row r="6" spans="1:8" x14ac:dyDescent="0.25">
      <c r="A6">
        <v>6</v>
      </c>
      <c r="B6" s="1">
        <v>46180</v>
      </c>
      <c r="G6" t="s">
        <v>8</v>
      </c>
      <c r="H6" t="s">
        <v>9</v>
      </c>
    </row>
    <row r="9" spans="1:8" ht="15.75" x14ac:dyDescent="0.25">
      <c r="G9" t="s">
        <v>10</v>
      </c>
      <c r="H9" s="2" t="s">
        <v>11</v>
      </c>
    </row>
    <row r="10" spans="1:8" x14ac:dyDescent="0.25">
      <c r="G10" t="s">
        <v>12</v>
      </c>
    </row>
  </sheetData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D9AE-22BA-49BD-B58F-81072A945476}">
  <dimension ref="A1:I31"/>
  <sheetViews>
    <sheetView workbookViewId="0"/>
  </sheetViews>
  <sheetFormatPr defaultRowHeight="15" x14ac:dyDescent="0.25"/>
  <cols>
    <col min="1" max="1" width="5" style="6" customWidth="1"/>
    <col min="2" max="2" width="37.7109375" style="6" customWidth="1"/>
    <col min="3" max="3" width="18.140625" style="6" customWidth="1"/>
    <col min="4" max="4" width="13.85546875" style="6" customWidth="1"/>
    <col min="5" max="5" width="20.140625" style="6" customWidth="1"/>
    <col min="6" max="6" width="20.28515625" style="40" customWidth="1"/>
    <col min="7" max="7" width="45.85546875" style="6" customWidth="1"/>
    <col min="8" max="8" width="9.5703125" style="41" customWidth="1"/>
    <col min="9" max="9" width="17.7109375" style="6" customWidth="1"/>
    <col min="10" max="10" width="9.140625" style="6" customWidth="1"/>
    <col min="11" max="16384" width="9.140625" style="6"/>
  </cols>
  <sheetData>
    <row r="1" spans="1:9" ht="15" customHeight="1" thickBot="1" x14ac:dyDescent="0.3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4" t="s">
        <v>18</v>
      </c>
      <c r="G1" s="3" t="s">
        <v>19</v>
      </c>
      <c r="H1" s="5" t="s">
        <v>20</v>
      </c>
      <c r="I1" s="3" t="s">
        <v>21</v>
      </c>
    </row>
    <row r="2" spans="1:9" ht="15.75" thickBot="1" x14ac:dyDescent="0.3">
      <c r="A2" s="7">
        <v>1</v>
      </c>
      <c r="B2" s="8"/>
      <c r="C2" s="8"/>
      <c r="D2" s="9"/>
      <c r="E2" s="8"/>
      <c r="F2" s="9"/>
      <c r="G2" s="8"/>
      <c r="H2" s="10"/>
      <c r="I2" s="3"/>
    </row>
    <row r="3" spans="1:9" ht="15.75" thickBot="1" x14ac:dyDescent="0.3">
      <c r="A3" s="3">
        <v>2</v>
      </c>
      <c r="B3" s="11"/>
      <c r="C3" s="11"/>
      <c r="D3" s="12"/>
      <c r="E3" s="11"/>
      <c r="F3" s="12"/>
      <c r="G3" s="11"/>
      <c r="H3" s="13"/>
      <c r="I3" s="3"/>
    </row>
    <row r="4" spans="1:9" ht="15.75" thickBot="1" x14ac:dyDescent="0.3">
      <c r="A4" s="3">
        <v>3</v>
      </c>
      <c r="B4" s="14"/>
      <c r="C4" s="14"/>
      <c r="D4" s="15"/>
      <c r="E4" s="14"/>
      <c r="F4" s="15"/>
      <c r="G4" s="14"/>
      <c r="H4" s="13"/>
      <c r="I4" s="3"/>
    </row>
    <row r="5" spans="1:9" ht="15.75" thickBot="1" x14ac:dyDescent="0.3">
      <c r="A5" s="3">
        <v>4</v>
      </c>
      <c r="B5" s="11"/>
      <c r="C5" s="11"/>
      <c r="D5" s="12"/>
      <c r="E5" s="11"/>
      <c r="F5" s="12"/>
      <c r="G5" s="16"/>
      <c r="H5" s="13"/>
      <c r="I5" s="3"/>
    </row>
    <row r="6" spans="1:9" ht="15.75" thickBot="1" x14ac:dyDescent="0.3">
      <c r="A6" s="3">
        <v>5</v>
      </c>
      <c r="B6" s="14"/>
      <c r="C6" s="14"/>
      <c r="D6" s="15"/>
      <c r="E6" s="14"/>
      <c r="F6" s="15"/>
      <c r="G6" s="17"/>
      <c r="H6" s="13"/>
      <c r="I6" s="3"/>
    </row>
    <row r="7" spans="1:9" ht="15.75" thickBot="1" x14ac:dyDescent="0.3">
      <c r="A7" s="3">
        <v>6</v>
      </c>
      <c r="B7" s="11"/>
      <c r="C7" s="11"/>
      <c r="D7" s="12"/>
      <c r="E7" s="11"/>
      <c r="F7" s="12"/>
      <c r="G7" s="16"/>
      <c r="H7" s="13"/>
      <c r="I7" s="3"/>
    </row>
    <row r="8" spans="1:9" ht="15.75" thickBot="1" x14ac:dyDescent="0.3">
      <c r="A8" s="3">
        <v>7</v>
      </c>
      <c r="B8" s="14"/>
      <c r="C8" s="14"/>
      <c r="D8" s="15"/>
      <c r="E8" s="14"/>
      <c r="F8" s="15"/>
      <c r="G8" s="14"/>
      <c r="H8" s="13"/>
      <c r="I8" s="3"/>
    </row>
    <row r="9" spans="1:9" ht="15.75" thickBot="1" x14ac:dyDescent="0.3">
      <c r="A9" s="3">
        <v>8</v>
      </c>
      <c r="B9" s="11"/>
      <c r="C9" s="11"/>
      <c r="D9" s="12"/>
      <c r="E9" s="11"/>
      <c r="F9" s="12"/>
      <c r="G9" s="16"/>
      <c r="H9" s="13"/>
      <c r="I9" s="3"/>
    </row>
    <row r="10" spans="1:9" ht="15.75" thickBot="1" x14ac:dyDescent="0.3">
      <c r="A10" s="3">
        <v>9</v>
      </c>
      <c r="B10" s="14"/>
      <c r="C10" s="14"/>
      <c r="D10" s="15"/>
      <c r="E10" s="14"/>
      <c r="F10" s="15"/>
      <c r="G10" s="14"/>
      <c r="H10" s="18"/>
      <c r="I10" s="3"/>
    </row>
    <row r="11" spans="1:9" ht="15.75" thickBot="1" x14ac:dyDescent="0.3">
      <c r="A11" s="3">
        <v>10</v>
      </c>
      <c r="B11" s="19"/>
      <c r="C11" s="19"/>
      <c r="D11" s="20"/>
      <c r="E11" s="19"/>
      <c r="F11" s="20"/>
      <c r="G11" s="11"/>
      <c r="H11" s="13"/>
      <c r="I11" s="3"/>
    </row>
    <row r="12" spans="1:9" ht="15.75" thickBot="1" x14ac:dyDescent="0.3">
      <c r="A12" s="3">
        <v>11</v>
      </c>
      <c r="B12" s="21"/>
      <c r="C12" s="21"/>
      <c r="D12" s="22"/>
      <c r="E12" s="21"/>
      <c r="F12" s="21"/>
      <c r="G12" s="14"/>
      <c r="H12" s="13"/>
      <c r="I12" s="3"/>
    </row>
    <row r="13" spans="1:9" ht="15.75" thickBot="1" x14ac:dyDescent="0.3">
      <c r="A13" s="3">
        <v>12</v>
      </c>
      <c r="B13" s="14"/>
      <c r="C13" s="14"/>
      <c r="D13" s="15"/>
      <c r="E13" s="14"/>
      <c r="F13" s="14"/>
      <c r="G13" s="11"/>
      <c r="H13" s="13"/>
      <c r="I13" s="3"/>
    </row>
    <row r="14" spans="1:9" ht="15.75" thickBot="1" x14ac:dyDescent="0.3">
      <c r="A14" s="3">
        <v>13</v>
      </c>
      <c r="B14" s="11"/>
      <c r="C14" s="11"/>
      <c r="D14" s="12"/>
      <c r="E14" s="11"/>
      <c r="F14" s="11"/>
      <c r="G14" s="14"/>
      <c r="H14" s="18"/>
      <c r="I14" s="3"/>
    </row>
    <row r="15" spans="1:9" ht="15.75" thickBot="1" x14ac:dyDescent="0.3">
      <c r="A15" s="3">
        <v>14</v>
      </c>
      <c r="B15" s="14"/>
      <c r="C15" s="14"/>
      <c r="D15" s="15"/>
      <c r="E15" s="14"/>
      <c r="F15" s="14"/>
      <c r="G15" s="11"/>
      <c r="H15" s="13"/>
      <c r="I15" s="3"/>
    </row>
    <row r="16" spans="1:9" ht="15.75" thickBot="1" x14ac:dyDescent="0.3">
      <c r="A16" s="3">
        <v>15</v>
      </c>
      <c r="B16" s="11"/>
      <c r="C16" s="11"/>
      <c r="D16" s="12"/>
      <c r="E16" s="11"/>
      <c r="F16" s="11"/>
      <c r="G16" s="14"/>
      <c r="H16" s="13"/>
      <c r="I16" s="3"/>
    </row>
    <row r="17" spans="1:9" ht="15.75" thickBot="1" x14ac:dyDescent="0.3">
      <c r="A17" s="3">
        <v>16</v>
      </c>
      <c r="B17" s="14"/>
      <c r="C17" s="14"/>
      <c r="D17" s="15"/>
      <c r="E17" s="14"/>
      <c r="F17" s="14"/>
      <c r="G17" s="11"/>
      <c r="H17" s="13"/>
      <c r="I17" s="3"/>
    </row>
    <row r="18" spans="1:9" ht="15.75" thickBot="1" x14ac:dyDescent="0.3">
      <c r="A18" s="3">
        <v>17</v>
      </c>
      <c r="B18" s="11"/>
      <c r="C18" s="11"/>
      <c r="D18" s="12"/>
      <c r="E18" s="11"/>
      <c r="F18" s="11"/>
      <c r="G18" s="14"/>
      <c r="H18" s="13"/>
      <c r="I18" s="3"/>
    </row>
    <row r="19" spans="1:9" ht="15.75" thickBot="1" x14ac:dyDescent="0.3">
      <c r="A19" s="3">
        <v>18</v>
      </c>
      <c r="B19" s="14"/>
      <c r="C19" s="14"/>
      <c r="D19" s="15"/>
      <c r="E19" s="14"/>
      <c r="F19" s="14"/>
      <c r="G19" s="11"/>
      <c r="H19" s="13"/>
      <c r="I19" s="3"/>
    </row>
    <row r="20" spans="1:9" ht="15.75" thickBot="1" x14ac:dyDescent="0.3">
      <c r="A20" s="3">
        <v>19</v>
      </c>
      <c r="B20" s="11"/>
      <c r="C20" s="11"/>
      <c r="D20" s="12"/>
      <c r="E20" s="11"/>
      <c r="F20" s="11"/>
      <c r="G20" s="14"/>
      <c r="H20" s="23"/>
      <c r="I20" s="3"/>
    </row>
    <row r="21" spans="1:9" ht="15.75" thickBot="1" x14ac:dyDescent="0.3">
      <c r="A21" s="3">
        <v>20</v>
      </c>
      <c r="B21" s="24"/>
      <c r="C21" s="24"/>
      <c r="D21" s="25"/>
      <c r="E21" s="24"/>
      <c r="F21" s="24"/>
      <c r="G21" s="26"/>
      <c r="H21" s="27"/>
      <c r="I21" s="3"/>
    </row>
    <row r="22" spans="1:9" x14ac:dyDescent="0.25">
      <c r="A22" s="3">
        <v>21</v>
      </c>
      <c r="B22" s="28"/>
      <c r="C22" s="28"/>
      <c r="D22" s="28"/>
      <c r="E22" s="28"/>
      <c r="F22" s="29"/>
      <c r="G22" s="30"/>
      <c r="H22" s="27"/>
      <c r="I22" s="3"/>
    </row>
    <row r="23" spans="1:9" x14ac:dyDescent="0.25">
      <c r="A23" s="3">
        <v>22</v>
      </c>
      <c r="B23" s="31"/>
      <c r="C23" s="31"/>
      <c r="D23" s="31"/>
      <c r="E23" s="31"/>
      <c r="F23" s="32"/>
      <c r="G23" s="33"/>
      <c r="H23" s="13"/>
      <c r="I23" s="3"/>
    </row>
    <row r="24" spans="1:9" x14ac:dyDescent="0.25">
      <c r="A24" s="3">
        <v>23</v>
      </c>
      <c r="B24" s="28"/>
      <c r="C24" s="28"/>
      <c r="D24" s="28"/>
      <c r="E24" s="28"/>
      <c r="F24" s="29"/>
      <c r="G24" s="30"/>
      <c r="H24" s="13"/>
      <c r="I24" s="3"/>
    </row>
    <row r="25" spans="1:9" x14ac:dyDescent="0.25">
      <c r="A25" s="3">
        <v>24</v>
      </c>
      <c r="B25" s="31"/>
      <c r="C25" s="31"/>
      <c r="D25" s="31"/>
      <c r="E25" s="31"/>
      <c r="F25" s="32"/>
      <c r="G25" s="33"/>
      <c r="H25" s="18"/>
      <c r="I25" s="3"/>
    </row>
    <row r="26" spans="1:9" x14ac:dyDescent="0.25">
      <c r="A26" s="3">
        <v>25</v>
      </c>
      <c r="B26" s="28"/>
      <c r="C26" s="28"/>
      <c r="D26" s="28"/>
      <c r="E26" s="28"/>
      <c r="F26" s="29"/>
      <c r="G26" s="30"/>
      <c r="H26" s="18"/>
      <c r="I26" s="3"/>
    </row>
    <row r="27" spans="1:9" x14ac:dyDescent="0.25">
      <c r="A27" s="3">
        <v>26</v>
      </c>
      <c r="B27" s="31"/>
      <c r="C27" s="31"/>
      <c r="D27" s="31"/>
      <c r="E27" s="31"/>
      <c r="F27" s="32"/>
      <c r="G27" s="33"/>
      <c r="H27" s="13"/>
      <c r="I27" s="3"/>
    </row>
    <row r="28" spans="1:9" x14ac:dyDescent="0.25">
      <c r="A28" s="3">
        <v>27</v>
      </c>
      <c r="B28" s="28"/>
      <c r="C28" s="34"/>
      <c r="D28" s="28"/>
      <c r="E28" s="28"/>
      <c r="F28" s="35"/>
      <c r="G28" s="30"/>
      <c r="H28" s="18"/>
      <c r="I28" s="3"/>
    </row>
    <row r="29" spans="1:9" ht="15" customHeight="1" x14ac:dyDescent="0.25">
      <c r="A29" s="3">
        <v>28</v>
      </c>
      <c r="B29" s="3"/>
      <c r="C29" s="3"/>
      <c r="D29" s="3"/>
      <c r="E29" s="3"/>
      <c r="F29" s="4"/>
      <c r="G29" s="3"/>
      <c r="H29" s="5"/>
      <c r="I29" s="3"/>
    </row>
    <row r="30" spans="1:9" ht="15" customHeight="1" x14ac:dyDescent="0.25">
      <c r="A30" s="3">
        <v>29</v>
      </c>
      <c r="B30" s="36"/>
      <c r="C30" s="37"/>
      <c r="D30" s="36"/>
      <c r="E30" s="36"/>
      <c r="F30" s="38"/>
      <c r="G30" s="39"/>
      <c r="H30" s="5"/>
      <c r="I30" s="3"/>
    </row>
    <row r="31" spans="1:9" ht="15" customHeight="1" x14ac:dyDescent="0.25">
      <c r="A31" s="3">
        <v>30</v>
      </c>
      <c r="B31" s="36"/>
      <c r="C31" s="37"/>
      <c r="D31" s="36"/>
      <c r="E31" s="36"/>
      <c r="F31" s="38"/>
      <c r="G31" s="39"/>
      <c r="H31" s="5"/>
      <c r="I31" s="3"/>
    </row>
  </sheetData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E6E6-8330-416A-847D-1B3950F6F69D}">
  <dimension ref="B1:J49"/>
  <sheetViews>
    <sheetView workbookViewId="0">
      <selection activeCell="J5" sqref="J5:J25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5.7109375" hidden="1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22</v>
      </c>
      <c r="C1" s="42" t="s">
        <v>23</v>
      </c>
      <c r="D1" s="43" t="s">
        <v>24</v>
      </c>
      <c r="E1" s="43" t="s">
        <v>25</v>
      </c>
      <c r="F1" s="43" t="s">
        <v>26</v>
      </c>
      <c r="G1" s="43" t="s">
        <v>27</v>
      </c>
      <c r="H1" s="43" t="s">
        <v>28</v>
      </c>
      <c r="I1" s="43" t="s">
        <v>29</v>
      </c>
      <c r="J1" s="44" t="s">
        <v>30</v>
      </c>
    </row>
    <row r="2" spans="2:10" ht="21" customHeight="1" x14ac:dyDescent="0.25">
      <c r="B2" s="91" t="s">
        <v>126</v>
      </c>
      <c r="C2" s="92">
        <v>1</v>
      </c>
      <c r="D2" s="43" t="s">
        <v>31</v>
      </c>
      <c r="E2" s="101" t="s">
        <v>32</v>
      </c>
      <c r="F2" s="101"/>
      <c r="G2" s="101"/>
      <c r="H2" s="101"/>
      <c r="I2" s="101"/>
      <c r="J2" s="99" t="s">
        <v>33</v>
      </c>
    </row>
    <row r="3" spans="2:10" ht="15.75" customHeight="1" x14ac:dyDescent="0.25">
      <c r="B3" s="91"/>
      <c r="C3" s="92"/>
      <c r="D3" s="46" t="s">
        <v>34</v>
      </c>
      <c r="E3" s="100" t="s">
        <v>1</v>
      </c>
      <c r="F3" s="100"/>
      <c r="G3" s="100"/>
      <c r="H3" s="100"/>
      <c r="I3" s="100"/>
      <c r="J3" s="99"/>
    </row>
    <row r="4" spans="2:10" ht="15" customHeight="1" x14ac:dyDescent="0.25">
      <c r="B4" s="91"/>
      <c r="C4" s="92">
        <v>2</v>
      </c>
      <c r="D4" s="43" t="s">
        <v>35</v>
      </c>
      <c r="E4" s="101" t="s">
        <v>32</v>
      </c>
      <c r="F4" s="101"/>
      <c r="G4" s="101"/>
      <c r="H4" s="101"/>
      <c r="I4" s="101"/>
      <c r="J4" s="99"/>
    </row>
    <row r="5" spans="2:10" ht="15" customHeight="1" x14ac:dyDescent="0.25">
      <c r="B5" s="91"/>
      <c r="C5" s="92"/>
      <c r="D5" s="47" t="s">
        <v>34</v>
      </c>
      <c r="E5" s="100" t="s">
        <v>1</v>
      </c>
      <c r="F5" s="100"/>
      <c r="G5" s="100"/>
      <c r="H5" s="100"/>
      <c r="I5" s="100"/>
      <c r="J5" s="102" t="s">
        <v>132</v>
      </c>
    </row>
    <row r="6" spans="2:10" ht="15" customHeight="1" x14ac:dyDescent="0.25">
      <c r="B6" s="91"/>
      <c r="C6" s="92">
        <v>3</v>
      </c>
      <c r="D6" s="43" t="s">
        <v>36</v>
      </c>
      <c r="E6" s="101" t="s">
        <v>37</v>
      </c>
      <c r="F6" s="101"/>
      <c r="G6" s="101"/>
      <c r="H6" s="101"/>
      <c r="I6" s="101"/>
      <c r="J6" s="102"/>
    </row>
    <row r="7" spans="2:10" ht="15" customHeight="1" x14ac:dyDescent="0.25">
      <c r="B7" s="91"/>
      <c r="C7" s="92"/>
      <c r="D7" s="47" t="s">
        <v>34</v>
      </c>
      <c r="E7" s="100" t="s">
        <v>1</v>
      </c>
      <c r="F7" s="100"/>
      <c r="G7" s="100"/>
      <c r="H7" s="100"/>
      <c r="I7" s="100"/>
      <c r="J7" s="102"/>
    </row>
    <row r="8" spans="2:10" ht="15" customHeight="1" x14ac:dyDescent="0.25">
      <c r="B8" s="91"/>
      <c r="C8" s="92">
        <v>4</v>
      </c>
      <c r="D8" s="43" t="s">
        <v>38</v>
      </c>
      <c r="E8" s="101" t="s">
        <v>39</v>
      </c>
      <c r="F8" s="101"/>
      <c r="G8" s="101"/>
      <c r="H8" s="101"/>
      <c r="I8" s="101"/>
      <c r="J8" s="102"/>
    </row>
    <row r="9" spans="2:10" ht="15" customHeight="1" x14ac:dyDescent="0.25">
      <c r="B9" s="91"/>
      <c r="C9" s="92"/>
      <c r="D9" s="47" t="s">
        <v>34</v>
      </c>
      <c r="E9" s="100" t="s">
        <v>1</v>
      </c>
      <c r="F9" s="100"/>
      <c r="G9" s="100"/>
      <c r="H9" s="100"/>
      <c r="I9" s="100"/>
      <c r="J9" s="102"/>
    </row>
    <row r="10" spans="2:10" ht="15" customHeight="1" x14ac:dyDescent="0.25">
      <c r="B10" s="91"/>
      <c r="C10" s="92">
        <v>5</v>
      </c>
      <c r="D10" s="43" t="s">
        <v>40</v>
      </c>
      <c r="E10" s="101" t="s">
        <v>41</v>
      </c>
      <c r="F10" s="101"/>
      <c r="G10" s="101"/>
      <c r="H10" s="101"/>
      <c r="I10" s="101"/>
      <c r="J10" s="102"/>
    </row>
    <row r="11" spans="2:10" ht="15" customHeight="1" x14ac:dyDescent="0.25">
      <c r="B11" s="91"/>
      <c r="C11" s="92"/>
      <c r="D11" s="47" t="s">
        <v>34</v>
      </c>
      <c r="E11" s="100" t="s">
        <v>1</v>
      </c>
      <c r="F11" s="100"/>
      <c r="G11" s="100"/>
      <c r="H11" s="100"/>
      <c r="I11" s="100"/>
      <c r="J11" s="102"/>
    </row>
    <row r="12" spans="2:10" ht="15" customHeight="1" x14ac:dyDescent="0.25">
      <c r="B12" s="91"/>
      <c r="C12" s="92">
        <v>6</v>
      </c>
      <c r="D12" s="43" t="s">
        <v>42</v>
      </c>
      <c r="E12" s="101" t="s">
        <v>41</v>
      </c>
      <c r="F12" s="101"/>
      <c r="G12" s="101"/>
      <c r="H12" s="101"/>
      <c r="I12" s="101"/>
      <c r="J12" s="102"/>
    </row>
    <row r="13" spans="2:10" ht="15" customHeight="1" x14ac:dyDescent="0.25">
      <c r="B13" s="91"/>
      <c r="C13" s="92"/>
      <c r="D13" s="47" t="s">
        <v>34</v>
      </c>
      <c r="E13" s="100" t="s">
        <v>1</v>
      </c>
      <c r="F13" s="100"/>
      <c r="G13" s="100"/>
      <c r="H13" s="100"/>
      <c r="I13" s="100"/>
      <c r="J13" s="102"/>
    </row>
    <row r="14" spans="2:10" ht="15" customHeight="1" x14ac:dyDescent="0.25">
      <c r="B14" s="91"/>
      <c r="C14" s="103"/>
      <c r="D14" s="104" t="s">
        <v>43</v>
      </c>
      <c r="E14" s="97" t="s">
        <v>44</v>
      </c>
      <c r="F14" s="97"/>
      <c r="G14" s="97"/>
      <c r="H14" s="97"/>
      <c r="I14" s="97"/>
      <c r="J14" s="102"/>
    </row>
    <row r="15" spans="2:10" ht="15" customHeight="1" x14ac:dyDescent="0.25">
      <c r="B15" s="91"/>
      <c r="C15" s="103"/>
      <c r="D15" s="104"/>
      <c r="E15" s="97"/>
      <c r="F15" s="97"/>
      <c r="G15" s="97"/>
      <c r="H15" s="97"/>
      <c r="I15" s="97"/>
      <c r="J15" s="102"/>
    </row>
    <row r="16" spans="2:10" ht="15" customHeight="1" x14ac:dyDescent="0.25">
      <c r="B16" s="91"/>
      <c r="C16" s="92">
        <v>7</v>
      </c>
      <c r="D16" s="43" t="s">
        <v>45</v>
      </c>
      <c r="E16" s="101" t="s">
        <v>46</v>
      </c>
      <c r="F16" s="101"/>
      <c r="G16" s="101"/>
      <c r="H16" s="101"/>
      <c r="I16" s="101"/>
      <c r="J16" s="102"/>
    </row>
    <row r="17" spans="2:10" ht="15" customHeight="1" x14ac:dyDescent="0.25">
      <c r="B17" s="91"/>
      <c r="C17" s="92"/>
      <c r="D17" s="47" t="s">
        <v>34</v>
      </c>
      <c r="E17" s="100" t="s">
        <v>1</v>
      </c>
      <c r="F17" s="100"/>
      <c r="G17" s="100"/>
      <c r="H17" s="100"/>
      <c r="I17" s="100"/>
      <c r="J17" s="102"/>
    </row>
    <row r="18" spans="2:10" ht="15" customHeight="1" x14ac:dyDescent="0.25">
      <c r="B18" s="91"/>
      <c r="C18" s="92">
        <v>8</v>
      </c>
      <c r="D18" s="43" t="s">
        <v>47</v>
      </c>
      <c r="E18" s="101" t="s">
        <v>46</v>
      </c>
      <c r="F18" s="101"/>
      <c r="G18" s="101"/>
      <c r="H18" s="101"/>
      <c r="I18" s="101"/>
      <c r="J18" s="102"/>
    </row>
    <row r="19" spans="2:10" ht="15" customHeight="1" x14ac:dyDescent="0.25">
      <c r="B19" s="91"/>
      <c r="C19" s="92"/>
      <c r="D19" s="47" t="s">
        <v>34</v>
      </c>
      <c r="E19" s="100" t="s">
        <v>1</v>
      </c>
      <c r="F19" s="100"/>
      <c r="G19" s="100"/>
      <c r="H19" s="100"/>
      <c r="I19" s="100"/>
      <c r="J19" s="102"/>
    </row>
    <row r="20" spans="2:10" ht="30" customHeight="1" x14ac:dyDescent="0.25">
      <c r="B20" s="91"/>
      <c r="C20" s="92">
        <v>9</v>
      </c>
      <c r="D20" s="43" t="s">
        <v>48</v>
      </c>
      <c r="E20" s="101" t="s">
        <v>49</v>
      </c>
      <c r="F20" s="101"/>
      <c r="G20" s="101"/>
      <c r="H20" s="101"/>
      <c r="I20" s="101"/>
      <c r="J20" s="102"/>
    </row>
    <row r="21" spans="2:10" ht="15" customHeight="1" x14ac:dyDescent="0.25">
      <c r="B21" s="91"/>
      <c r="C21" s="92"/>
      <c r="D21" s="47" t="s">
        <v>34</v>
      </c>
      <c r="E21" s="100" t="s">
        <v>1</v>
      </c>
      <c r="F21" s="100"/>
      <c r="G21" s="100"/>
      <c r="H21" s="100"/>
      <c r="I21" s="100"/>
      <c r="J21" s="102"/>
    </row>
    <row r="22" spans="2:10" ht="30" customHeight="1" x14ac:dyDescent="0.25">
      <c r="B22" s="91"/>
      <c r="C22" s="92">
        <v>10</v>
      </c>
      <c r="D22" s="43" t="s">
        <v>50</v>
      </c>
      <c r="E22" s="101" t="s">
        <v>49</v>
      </c>
      <c r="F22" s="101"/>
      <c r="G22" s="101"/>
      <c r="H22" s="101"/>
      <c r="I22" s="101"/>
      <c r="J22" s="102"/>
    </row>
    <row r="23" spans="2:10" ht="15" customHeight="1" x14ac:dyDescent="0.25">
      <c r="B23" s="91"/>
      <c r="C23" s="92"/>
      <c r="D23" s="47" t="s">
        <v>34</v>
      </c>
      <c r="E23" s="100" t="s">
        <v>1</v>
      </c>
      <c r="F23" s="100"/>
      <c r="G23" s="100"/>
      <c r="H23" s="100"/>
      <c r="I23" s="100"/>
      <c r="J23" s="102"/>
    </row>
    <row r="24" spans="2:10" ht="30" customHeight="1" x14ac:dyDescent="0.25">
      <c r="B24" s="91"/>
      <c r="C24" s="92">
        <v>11</v>
      </c>
      <c r="D24" s="43" t="s">
        <v>51</v>
      </c>
      <c r="E24" s="101" t="s">
        <v>49</v>
      </c>
      <c r="F24" s="101"/>
      <c r="G24" s="101"/>
      <c r="H24" s="101"/>
      <c r="I24" s="101"/>
      <c r="J24" s="102"/>
    </row>
    <row r="25" spans="2:10" ht="15" customHeight="1" x14ac:dyDescent="0.25">
      <c r="B25" s="91"/>
      <c r="C25" s="92"/>
      <c r="D25" s="47" t="s">
        <v>34</v>
      </c>
      <c r="E25" s="100" t="s">
        <v>1</v>
      </c>
      <c r="F25" s="100"/>
      <c r="G25" s="100"/>
      <c r="H25" s="100"/>
      <c r="I25" s="100"/>
      <c r="J25" s="102"/>
    </row>
    <row r="26" spans="2:10" ht="15" customHeight="1" x14ac:dyDescent="0.25">
      <c r="B26" s="6"/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D27" s="6" t="s">
        <v>52</v>
      </c>
      <c r="E27" s="98"/>
      <c r="F27" s="98"/>
      <c r="G27" s="98"/>
      <c r="H27" s="98"/>
      <c r="I27" s="98"/>
      <c r="J27" s="49"/>
    </row>
    <row r="28" spans="2:10" ht="15" customHeight="1" x14ac:dyDescent="0.25">
      <c r="E28" s="98"/>
      <c r="F28" s="98"/>
      <c r="G28" s="98"/>
      <c r="H28" s="98"/>
      <c r="I28" s="98"/>
      <c r="J28" s="49"/>
    </row>
    <row r="29" spans="2:10" ht="15" customHeight="1" x14ac:dyDescent="0.25">
      <c r="E29" s="98"/>
      <c r="F29" s="98"/>
      <c r="G29" s="98"/>
      <c r="H29" s="98"/>
      <c r="I29" s="98"/>
      <c r="J29" s="49"/>
    </row>
    <row r="30" spans="2:10" ht="15" customHeight="1" x14ac:dyDescent="0.25">
      <c r="E30" s="98"/>
      <c r="F30" s="98"/>
      <c r="G30" s="98"/>
      <c r="H30" s="98"/>
      <c r="I30" s="98"/>
      <c r="J30" s="49"/>
    </row>
    <row r="31" spans="2:10" ht="15" customHeight="1" x14ac:dyDescent="0.25">
      <c r="E31" s="50"/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10:10" ht="15" customHeight="1" x14ac:dyDescent="0.25">
      <c r="J33" s="49"/>
    </row>
    <row r="34" spans="10:10" ht="15" customHeight="1" x14ac:dyDescent="0.25">
      <c r="J34" s="49"/>
    </row>
    <row r="35" spans="10:10" ht="15" customHeight="1" x14ac:dyDescent="0.25">
      <c r="J35" s="49"/>
    </row>
    <row r="36" spans="10:10" ht="15" customHeight="1" x14ac:dyDescent="0.25">
      <c r="J36" s="49"/>
    </row>
    <row r="37" spans="10:10" ht="15" customHeight="1" x14ac:dyDescent="0.25">
      <c r="J37" s="49"/>
    </row>
    <row r="38" spans="10:10" ht="15" customHeight="1" x14ac:dyDescent="0.25">
      <c r="J38" s="49"/>
    </row>
    <row r="39" spans="10:10" ht="15" customHeight="1" x14ac:dyDescent="0.25">
      <c r="J39" s="49"/>
    </row>
    <row r="40" spans="10:10" ht="15" customHeight="1" x14ac:dyDescent="0.25">
      <c r="J40" s="49"/>
    </row>
    <row r="41" spans="10:10" ht="15" customHeight="1" x14ac:dyDescent="0.25">
      <c r="J41" s="49"/>
    </row>
    <row r="42" spans="10:10" ht="15" customHeight="1" x14ac:dyDescent="0.25">
      <c r="J42" s="49"/>
    </row>
    <row r="43" spans="10:10" ht="15" customHeight="1" x14ac:dyDescent="0.25">
      <c r="J43" s="49"/>
    </row>
    <row r="44" spans="10:10" ht="15" customHeight="1" x14ac:dyDescent="0.25">
      <c r="J44" s="49"/>
    </row>
    <row r="45" spans="10:10" ht="15" customHeight="1" x14ac:dyDescent="0.25">
      <c r="J45" s="49"/>
    </row>
    <row r="46" spans="10:10" ht="15" customHeight="1" x14ac:dyDescent="0.25">
      <c r="J46" s="49"/>
    </row>
    <row r="47" spans="10:10" x14ac:dyDescent="0.25">
      <c r="J47" s="51"/>
    </row>
    <row r="48" spans="10:10" x14ac:dyDescent="0.25">
      <c r="J48" s="51"/>
    </row>
    <row r="49" spans="10:10" x14ac:dyDescent="0.25">
      <c r="J49" s="51"/>
    </row>
  </sheetData>
  <mergeCells count="41">
    <mergeCell ref="E27:I28"/>
    <mergeCell ref="E29:I30"/>
    <mergeCell ref="E21:I21"/>
    <mergeCell ref="C22:C23"/>
    <mergeCell ref="E22:I22"/>
    <mergeCell ref="E23:I23"/>
    <mergeCell ref="C24:C25"/>
    <mergeCell ref="E24:I24"/>
    <mergeCell ref="E25:I25"/>
    <mergeCell ref="B2:B25"/>
    <mergeCell ref="C2:C3"/>
    <mergeCell ref="E2:I2"/>
    <mergeCell ref="E6:I6"/>
    <mergeCell ref="E7:I7"/>
    <mergeCell ref="C8:C9"/>
    <mergeCell ref="E8:I8"/>
    <mergeCell ref="E9:I9"/>
    <mergeCell ref="C12:C13"/>
    <mergeCell ref="E12:I12"/>
    <mergeCell ref="E13:I13"/>
    <mergeCell ref="C14:C15"/>
    <mergeCell ref="D14:D15"/>
    <mergeCell ref="E14:I15"/>
    <mergeCell ref="C16:C17"/>
    <mergeCell ref="E16:I16"/>
    <mergeCell ref="J2:J4"/>
    <mergeCell ref="E3:I3"/>
    <mergeCell ref="C4:C5"/>
    <mergeCell ref="E4:I4"/>
    <mergeCell ref="E5:I5"/>
    <mergeCell ref="J5:J25"/>
    <mergeCell ref="C6:C7"/>
    <mergeCell ref="C10:C11"/>
    <mergeCell ref="E10:I10"/>
    <mergeCell ref="E11:I11"/>
    <mergeCell ref="E17:I17"/>
    <mergeCell ref="C18:C19"/>
    <mergeCell ref="E18:I18"/>
    <mergeCell ref="E19:I19"/>
    <mergeCell ref="C20:C21"/>
    <mergeCell ref="E20:I20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12CC-926B-466D-8625-CF49CE6DFE85}">
  <dimension ref="B1:J49"/>
  <sheetViews>
    <sheetView workbookViewId="0">
      <selection activeCell="J3" sqref="J3:J25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5.7109375" hidden="1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22</v>
      </c>
      <c r="C1" s="42" t="s">
        <v>23</v>
      </c>
      <c r="D1" s="43" t="s">
        <v>24</v>
      </c>
      <c r="E1" s="43" t="s">
        <v>25</v>
      </c>
      <c r="F1" s="43" t="s">
        <v>26</v>
      </c>
      <c r="G1" s="43" t="s">
        <v>27</v>
      </c>
      <c r="H1" s="43" t="s">
        <v>28</v>
      </c>
      <c r="I1" s="43" t="s">
        <v>29</v>
      </c>
      <c r="J1" s="45" t="s">
        <v>30</v>
      </c>
    </row>
    <row r="2" spans="2:10" ht="43.5" customHeight="1" x14ac:dyDescent="0.25">
      <c r="B2" s="91" t="s">
        <v>127</v>
      </c>
      <c r="C2" s="92">
        <v>12</v>
      </c>
      <c r="D2" s="43" t="s">
        <v>31</v>
      </c>
      <c r="E2" s="101" t="s">
        <v>53</v>
      </c>
      <c r="F2" s="101"/>
      <c r="G2" s="101"/>
      <c r="H2" s="101"/>
      <c r="I2" s="101"/>
      <c r="J2" s="45" t="s">
        <v>33</v>
      </c>
    </row>
    <row r="3" spans="2:10" ht="15.75" customHeight="1" x14ac:dyDescent="0.25">
      <c r="B3" s="91"/>
      <c r="C3" s="92"/>
      <c r="D3" s="46" t="s">
        <v>34</v>
      </c>
      <c r="E3" s="105" t="s">
        <v>1</v>
      </c>
      <c r="F3" s="105"/>
      <c r="G3" s="105"/>
      <c r="H3" s="105"/>
      <c r="I3" s="105"/>
      <c r="J3" s="94" t="s">
        <v>132</v>
      </c>
    </row>
    <row r="4" spans="2:10" ht="15" customHeight="1" x14ac:dyDescent="0.25">
      <c r="B4" s="91"/>
      <c r="C4" s="92">
        <v>13</v>
      </c>
      <c r="D4" s="43" t="s">
        <v>35</v>
      </c>
      <c r="E4" s="101" t="s">
        <v>53</v>
      </c>
      <c r="F4" s="101"/>
      <c r="G4" s="101"/>
      <c r="H4" s="101"/>
      <c r="I4" s="101"/>
      <c r="J4" s="94"/>
    </row>
    <row r="5" spans="2:10" ht="15" customHeight="1" x14ac:dyDescent="0.25">
      <c r="B5" s="91"/>
      <c r="C5" s="92"/>
      <c r="D5" s="47" t="s">
        <v>34</v>
      </c>
      <c r="E5" s="105" t="s">
        <v>1</v>
      </c>
      <c r="F5" s="105"/>
      <c r="G5" s="105"/>
      <c r="H5" s="105"/>
      <c r="I5" s="105"/>
      <c r="J5" s="94"/>
    </row>
    <row r="6" spans="2:10" ht="15" customHeight="1" x14ac:dyDescent="0.25">
      <c r="B6" s="91"/>
      <c r="C6" s="92">
        <v>14</v>
      </c>
      <c r="D6" s="43" t="s">
        <v>36</v>
      </c>
      <c r="E6" s="101" t="s">
        <v>54</v>
      </c>
      <c r="F6" s="101"/>
      <c r="G6" s="101"/>
      <c r="H6" s="101"/>
      <c r="I6" s="101"/>
      <c r="J6" s="94"/>
    </row>
    <row r="7" spans="2:10" ht="15" customHeight="1" x14ac:dyDescent="0.25">
      <c r="B7" s="91"/>
      <c r="C7" s="92"/>
      <c r="D7" s="47" t="s">
        <v>34</v>
      </c>
      <c r="E7" s="105" t="s">
        <v>1</v>
      </c>
      <c r="F7" s="105"/>
      <c r="G7" s="105"/>
      <c r="H7" s="105"/>
      <c r="I7" s="105"/>
      <c r="J7" s="94"/>
    </row>
    <row r="8" spans="2:10" ht="15" customHeight="1" x14ac:dyDescent="0.25">
      <c r="B8" s="91"/>
      <c r="C8" s="92">
        <v>15</v>
      </c>
      <c r="D8" s="43" t="s">
        <v>38</v>
      </c>
      <c r="E8" s="101" t="s">
        <v>54</v>
      </c>
      <c r="F8" s="101"/>
      <c r="G8" s="101"/>
      <c r="H8" s="101"/>
      <c r="I8" s="101"/>
      <c r="J8" s="94"/>
    </row>
    <row r="9" spans="2:10" ht="15" customHeight="1" x14ac:dyDescent="0.25">
      <c r="B9" s="91"/>
      <c r="C9" s="92"/>
      <c r="D9" s="47" t="s">
        <v>34</v>
      </c>
      <c r="E9" s="105" t="s">
        <v>1</v>
      </c>
      <c r="F9" s="105"/>
      <c r="G9" s="105"/>
      <c r="H9" s="105"/>
      <c r="I9" s="105"/>
      <c r="J9" s="94"/>
    </row>
    <row r="10" spans="2:10" ht="15" customHeight="1" x14ac:dyDescent="0.25">
      <c r="B10" s="91"/>
      <c r="C10" s="92">
        <v>16</v>
      </c>
      <c r="D10" s="43" t="s">
        <v>40</v>
      </c>
      <c r="E10" s="101" t="s">
        <v>55</v>
      </c>
      <c r="F10" s="101"/>
      <c r="G10" s="101"/>
      <c r="H10" s="101"/>
      <c r="I10" s="101"/>
      <c r="J10" s="94"/>
    </row>
    <row r="11" spans="2:10" ht="15" customHeight="1" x14ac:dyDescent="0.25">
      <c r="B11" s="91"/>
      <c r="C11" s="92"/>
      <c r="D11" s="47" t="s">
        <v>34</v>
      </c>
      <c r="E11" s="105" t="s">
        <v>1</v>
      </c>
      <c r="F11" s="105"/>
      <c r="G11" s="105"/>
      <c r="H11" s="105"/>
      <c r="I11" s="105"/>
      <c r="J11" s="94"/>
    </row>
    <row r="12" spans="2:10" ht="15" customHeight="1" x14ac:dyDescent="0.25">
      <c r="B12" s="91"/>
      <c r="C12" s="92">
        <v>17</v>
      </c>
      <c r="D12" s="43" t="s">
        <v>42</v>
      </c>
      <c r="E12" s="101" t="s">
        <v>55</v>
      </c>
      <c r="F12" s="101"/>
      <c r="G12" s="101"/>
      <c r="H12" s="101"/>
      <c r="I12" s="101"/>
      <c r="J12" s="94"/>
    </row>
    <row r="13" spans="2:10" ht="15" customHeight="1" x14ac:dyDescent="0.25">
      <c r="B13" s="91"/>
      <c r="C13" s="92"/>
      <c r="D13" s="47" t="s">
        <v>34</v>
      </c>
      <c r="E13" s="105" t="s">
        <v>1</v>
      </c>
      <c r="F13" s="105"/>
      <c r="G13" s="105"/>
      <c r="H13" s="105"/>
      <c r="I13" s="105"/>
      <c r="J13" s="94"/>
    </row>
    <row r="14" spans="2:10" ht="15" customHeight="1" x14ac:dyDescent="0.25">
      <c r="B14" s="91"/>
      <c r="C14" s="103"/>
      <c r="D14" s="104" t="s">
        <v>43</v>
      </c>
      <c r="E14" s="97" t="s">
        <v>44</v>
      </c>
      <c r="F14" s="97"/>
      <c r="G14" s="97"/>
      <c r="H14" s="97"/>
      <c r="I14" s="97"/>
      <c r="J14" s="94"/>
    </row>
    <row r="15" spans="2:10" ht="15" customHeight="1" x14ac:dyDescent="0.25">
      <c r="B15" s="91"/>
      <c r="C15" s="103"/>
      <c r="D15" s="104"/>
      <c r="E15" s="97"/>
      <c r="F15" s="97"/>
      <c r="G15" s="97"/>
      <c r="H15" s="97"/>
      <c r="I15" s="97"/>
      <c r="J15" s="94"/>
    </row>
    <row r="16" spans="2:10" ht="15" customHeight="1" x14ac:dyDescent="0.25">
      <c r="B16" s="91"/>
      <c r="C16" s="92">
        <v>18</v>
      </c>
      <c r="D16" s="43" t="s">
        <v>45</v>
      </c>
      <c r="E16" s="101" t="s">
        <v>56</v>
      </c>
      <c r="F16" s="101"/>
      <c r="G16" s="101"/>
      <c r="H16" s="101"/>
      <c r="I16" s="101"/>
      <c r="J16" s="94"/>
    </row>
    <row r="17" spans="2:10" ht="15" customHeight="1" x14ac:dyDescent="0.25">
      <c r="B17" s="91"/>
      <c r="C17" s="92"/>
      <c r="D17" s="47" t="s">
        <v>34</v>
      </c>
      <c r="E17" s="105" t="s">
        <v>1</v>
      </c>
      <c r="F17" s="105"/>
      <c r="G17" s="105"/>
      <c r="H17" s="105"/>
      <c r="I17" s="105"/>
      <c r="J17" s="94"/>
    </row>
    <row r="18" spans="2:10" ht="15" customHeight="1" x14ac:dyDescent="0.25">
      <c r="B18" s="91"/>
      <c r="C18" s="92">
        <v>19</v>
      </c>
      <c r="D18" s="43" t="s">
        <v>47</v>
      </c>
      <c r="E18" s="101" t="s">
        <v>56</v>
      </c>
      <c r="F18" s="101"/>
      <c r="G18" s="101"/>
      <c r="H18" s="101"/>
      <c r="I18" s="101"/>
      <c r="J18" s="94"/>
    </row>
    <row r="19" spans="2:10" ht="15" customHeight="1" x14ac:dyDescent="0.25">
      <c r="B19" s="91"/>
      <c r="C19" s="92"/>
      <c r="D19" s="47" t="s">
        <v>34</v>
      </c>
      <c r="E19" s="105" t="s">
        <v>1</v>
      </c>
      <c r="F19" s="105"/>
      <c r="G19" s="105"/>
      <c r="H19" s="105"/>
      <c r="I19" s="105"/>
      <c r="J19" s="94"/>
    </row>
    <row r="20" spans="2:10" ht="15" customHeight="1" x14ac:dyDescent="0.25">
      <c r="B20" s="91"/>
      <c r="C20" s="92">
        <v>20</v>
      </c>
      <c r="D20" s="43" t="s">
        <v>48</v>
      </c>
      <c r="E20" s="101" t="s">
        <v>57</v>
      </c>
      <c r="F20" s="101"/>
      <c r="G20" s="101"/>
      <c r="H20" s="101"/>
      <c r="I20" s="101"/>
      <c r="J20" s="94"/>
    </row>
    <row r="21" spans="2:10" ht="15" customHeight="1" x14ac:dyDescent="0.25">
      <c r="B21" s="91"/>
      <c r="C21" s="92"/>
      <c r="D21" s="47" t="s">
        <v>34</v>
      </c>
      <c r="E21" s="105" t="s">
        <v>1</v>
      </c>
      <c r="F21" s="105"/>
      <c r="G21" s="105"/>
      <c r="H21" s="105"/>
      <c r="I21" s="105"/>
      <c r="J21" s="94"/>
    </row>
    <row r="22" spans="2:10" ht="15" customHeight="1" x14ac:dyDescent="0.25">
      <c r="B22" s="91"/>
      <c r="C22" s="92">
        <v>21</v>
      </c>
      <c r="D22" s="43" t="s">
        <v>50</v>
      </c>
      <c r="E22" s="101" t="s">
        <v>57</v>
      </c>
      <c r="F22" s="101"/>
      <c r="G22" s="101"/>
      <c r="H22" s="101"/>
      <c r="I22" s="101"/>
      <c r="J22" s="94"/>
    </row>
    <row r="23" spans="2:10" ht="15" customHeight="1" x14ac:dyDescent="0.25">
      <c r="B23" s="91"/>
      <c r="C23" s="92"/>
      <c r="D23" s="47" t="s">
        <v>34</v>
      </c>
      <c r="E23" s="105" t="s">
        <v>1</v>
      </c>
      <c r="F23" s="105"/>
      <c r="G23" s="105"/>
      <c r="H23" s="105"/>
      <c r="I23" s="105"/>
      <c r="J23" s="94"/>
    </row>
    <row r="24" spans="2:10" ht="15" customHeight="1" x14ac:dyDescent="0.25">
      <c r="B24" s="91"/>
      <c r="C24" s="92">
        <v>22</v>
      </c>
      <c r="D24" s="43" t="s">
        <v>51</v>
      </c>
      <c r="E24" s="101" t="s">
        <v>58</v>
      </c>
      <c r="F24" s="101"/>
      <c r="G24" s="101"/>
      <c r="H24" s="101"/>
      <c r="I24" s="101"/>
      <c r="J24" s="94"/>
    </row>
    <row r="25" spans="2:10" ht="15" customHeight="1" x14ac:dyDescent="0.25">
      <c r="B25" s="91"/>
      <c r="C25" s="92"/>
      <c r="D25" s="47" t="s">
        <v>34</v>
      </c>
      <c r="E25" s="105" t="s">
        <v>1</v>
      </c>
      <c r="F25" s="105"/>
      <c r="G25" s="105"/>
      <c r="H25" s="105"/>
      <c r="I25" s="105"/>
      <c r="J25" s="94"/>
    </row>
    <row r="26" spans="2:10" ht="15" customHeight="1" x14ac:dyDescent="0.25">
      <c r="B26" s="6"/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D27" s="6" t="s">
        <v>52</v>
      </c>
      <c r="E27" s="98"/>
      <c r="F27" s="98"/>
      <c r="G27" s="98"/>
      <c r="H27" s="98"/>
      <c r="I27" s="98"/>
      <c r="J27" s="49"/>
    </row>
    <row r="28" spans="2:10" ht="15" customHeight="1" x14ac:dyDescent="0.25">
      <c r="E28" s="98"/>
      <c r="F28" s="98"/>
      <c r="G28" s="98"/>
      <c r="H28" s="98"/>
      <c r="I28" s="98"/>
      <c r="J28" s="49"/>
    </row>
    <row r="29" spans="2:10" ht="15" customHeight="1" x14ac:dyDescent="0.25">
      <c r="E29" s="98"/>
      <c r="F29" s="98"/>
      <c r="G29" s="98"/>
      <c r="H29" s="98"/>
      <c r="I29" s="98"/>
      <c r="J29" s="49"/>
    </row>
    <row r="30" spans="2:10" ht="15" customHeight="1" x14ac:dyDescent="0.25">
      <c r="E30" s="98"/>
      <c r="F30" s="98"/>
      <c r="G30" s="98"/>
      <c r="H30" s="98"/>
      <c r="I30" s="98"/>
      <c r="J30" s="49"/>
    </row>
    <row r="31" spans="2:10" ht="15" customHeight="1" x14ac:dyDescent="0.25">
      <c r="E31" s="50"/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10:10" ht="15" customHeight="1" x14ac:dyDescent="0.25">
      <c r="J33" s="49"/>
    </row>
    <row r="34" spans="10:10" ht="15" customHeight="1" x14ac:dyDescent="0.25">
      <c r="J34" s="49"/>
    </row>
    <row r="35" spans="10:10" ht="15" customHeight="1" x14ac:dyDescent="0.25">
      <c r="J35" s="49"/>
    </row>
    <row r="36" spans="10:10" ht="15" customHeight="1" x14ac:dyDescent="0.25">
      <c r="J36" s="49"/>
    </row>
    <row r="37" spans="10:10" ht="15" customHeight="1" x14ac:dyDescent="0.25">
      <c r="J37" s="49"/>
    </row>
    <row r="38" spans="10:10" ht="15" customHeight="1" x14ac:dyDescent="0.25">
      <c r="J38" s="49"/>
    </row>
    <row r="39" spans="10:10" ht="15" customHeight="1" x14ac:dyDescent="0.25">
      <c r="J39" s="49"/>
    </row>
    <row r="40" spans="10:10" ht="15" customHeight="1" x14ac:dyDescent="0.25">
      <c r="J40" s="49"/>
    </row>
    <row r="41" spans="10:10" ht="15" customHeight="1" x14ac:dyDescent="0.25">
      <c r="J41" s="49"/>
    </row>
    <row r="42" spans="10:10" ht="15" customHeight="1" x14ac:dyDescent="0.25">
      <c r="J42" s="49"/>
    </row>
    <row r="43" spans="10:10" ht="15" customHeight="1" x14ac:dyDescent="0.25">
      <c r="J43" s="49"/>
    </row>
    <row r="44" spans="10:10" ht="15" customHeight="1" x14ac:dyDescent="0.25">
      <c r="J44" s="49"/>
    </row>
    <row r="45" spans="10:10" ht="15" customHeight="1" x14ac:dyDescent="0.25">
      <c r="J45" s="49"/>
    </row>
    <row r="46" spans="10:10" ht="15" customHeight="1" x14ac:dyDescent="0.25">
      <c r="J46" s="49"/>
    </row>
    <row r="47" spans="10:10" x14ac:dyDescent="0.25">
      <c r="J47" s="51"/>
    </row>
    <row r="48" spans="10:10" x14ac:dyDescent="0.25">
      <c r="J48" s="51"/>
    </row>
    <row r="49" spans="10:10" x14ac:dyDescent="0.25">
      <c r="J49" s="51"/>
    </row>
  </sheetData>
  <mergeCells count="40">
    <mergeCell ref="C24:C25"/>
    <mergeCell ref="E24:I24"/>
    <mergeCell ref="E25:I25"/>
    <mergeCell ref="E27:I28"/>
    <mergeCell ref="E29:I30"/>
    <mergeCell ref="C20:C21"/>
    <mergeCell ref="E20:I20"/>
    <mergeCell ref="E21:I21"/>
    <mergeCell ref="C22:C23"/>
    <mergeCell ref="E22:I22"/>
    <mergeCell ref="E23:I23"/>
    <mergeCell ref="C16:C17"/>
    <mergeCell ref="E16:I16"/>
    <mergeCell ref="E17:I17"/>
    <mergeCell ref="C18:C19"/>
    <mergeCell ref="E18:I18"/>
    <mergeCell ref="E19:I19"/>
    <mergeCell ref="E11:I11"/>
    <mergeCell ref="C12:C13"/>
    <mergeCell ref="E12:I12"/>
    <mergeCell ref="E13:I13"/>
    <mergeCell ref="C14:C15"/>
    <mergeCell ref="D14:D15"/>
    <mergeCell ref="E14:I15"/>
    <mergeCell ref="B2:B25"/>
    <mergeCell ref="C2:C3"/>
    <mergeCell ref="E2:I2"/>
    <mergeCell ref="E3:I3"/>
    <mergeCell ref="J3:J25"/>
    <mergeCell ref="C4:C5"/>
    <mergeCell ref="E4:I4"/>
    <mergeCell ref="E5:I5"/>
    <mergeCell ref="C6:C7"/>
    <mergeCell ref="E6:I6"/>
    <mergeCell ref="E7:I7"/>
    <mergeCell ref="C8:C9"/>
    <mergeCell ref="E8:I8"/>
    <mergeCell ref="E9:I9"/>
    <mergeCell ref="C10:C11"/>
    <mergeCell ref="E10:I10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41BF-ADB2-4F83-B046-AB160279CBCE}">
  <dimension ref="B1:J49"/>
  <sheetViews>
    <sheetView zoomScale="75" workbookViewId="0">
      <selection activeCell="J3" sqref="J3:J25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5.7109375" hidden="1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22</v>
      </c>
      <c r="C1" s="42" t="s">
        <v>23</v>
      </c>
      <c r="D1" s="43" t="s">
        <v>24</v>
      </c>
      <c r="E1" s="43" t="s">
        <v>25</v>
      </c>
      <c r="F1" s="43" t="s">
        <v>26</v>
      </c>
      <c r="G1" s="43" t="s">
        <v>27</v>
      </c>
      <c r="H1" s="43" t="s">
        <v>28</v>
      </c>
      <c r="I1" s="43" t="s">
        <v>29</v>
      </c>
      <c r="J1" s="45" t="s">
        <v>30</v>
      </c>
    </row>
    <row r="2" spans="2:10" ht="44.25" customHeight="1" x14ac:dyDescent="0.25">
      <c r="B2" s="91" t="s">
        <v>128</v>
      </c>
      <c r="C2" s="92">
        <v>23</v>
      </c>
      <c r="D2" s="43" t="s">
        <v>31</v>
      </c>
      <c r="E2" s="93" t="s">
        <v>59</v>
      </c>
      <c r="F2" s="93"/>
      <c r="G2" s="93"/>
      <c r="H2" s="93"/>
      <c r="I2" s="93"/>
      <c r="J2" s="45" t="s">
        <v>33</v>
      </c>
    </row>
    <row r="3" spans="2:10" ht="15.75" customHeight="1" x14ac:dyDescent="0.25">
      <c r="B3" s="91"/>
      <c r="C3" s="92"/>
      <c r="D3" s="46" t="s">
        <v>34</v>
      </c>
      <c r="E3" s="54" t="s">
        <v>1</v>
      </c>
      <c r="F3" s="54" t="s">
        <v>3</v>
      </c>
      <c r="G3" s="54" t="s">
        <v>123</v>
      </c>
      <c r="H3" s="54" t="s">
        <v>124</v>
      </c>
      <c r="I3" s="54" t="str">
        <f>DANE_PODSTAWOWE!H5</f>
        <v>Bartosz Supiński</v>
      </c>
      <c r="J3" s="94" t="s">
        <v>132</v>
      </c>
    </row>
    <row r="4" spans="2:10" ht="15" customHeight="1" x14ac:dyDescent="0.25">
      <c r="B4" s="91"/>
      <c r="C4" s="92">
        <v>24</v>
      </c>
      <c r="D4" s="43" t="s">
        <v>35</v>
      </c>
      <c r="E4" s="93" t="s">
        <v>59</v>
      </c>
      <c r="F4" s="93"/>
      <c r="G4" s="93"/>
      <c r="H4" s="93"/>
      <c r="I4" s="93"/>
      <c r="J4" s="94"/>
    </row>
    <row r="5" spans="2:10" ht="15" customHeight="1" x14ac:dyDescent="0.25">
      <c r="B5" s="91"/>
      <c r="C5" s="92"/>
      <c r="D5" s="47" t="s">
        <v>34</v>
      </c>
      <c r="E5" s="55" t="s">
        <v>1</v>
      </c>
      <c r="F5" s="55" t="s">
        <v>3</v>
      </c>
      <c r="G5" s="55" t="s">
        <v>123</v>
      </c>
      <c r="H5" s="55" t="s">
        <v>124</v>
      </c>
      <c r="I5" s="55" t="str">
        <f>I3</f>
        <v>Bartosz Supiński</v>
      </c>
      <c r="J5" s="94"/>
    </row>
    <row r="6" spans="2:10" ht="15" customHeight="1" x14ac:dyDescent="0.25">
      <c r="B6" s="91"/>
      <c r="C6" s="92">
        <v>25</v>
      </c>
      <c r="D6" s="43" t="s">
        <v>36</v>
      </c>
      <c r="E6" s="93" t="s">
        <v>59</v>
      </c>
      <c r="F6" s="93"/>
      <c r="G6" s="93"/>
      <c r="H6" s="93"/>
      <c r="I6" s="93"/>
      <c r="J6" s="94"/>
    </row>
    <row r="7" spans="2:10" ht="15" customHeight="1" x14ac:dyDescent="0.25">
      <c r="B7" s="91"/>
      <c r="C7" s="92"/>
      <c r="D7" s="47" t="s">
        <v>34</v>
      </c>
      <c r="E7" s="55" t="s">
        <v>1</v>
      </c>
      <c r="F7" s="55" t="s">
        <v>3</v>
      </c>
      <c r="G7" s="55" t="s">
        <v>123</v>
      </c>
      <c r="H7" s="55" t="s">
        <v>124</v>
      </c>
      <c r="I7" s="55" t="str">
        <f>I3</f>
        <v>Bartosz Supiński</v>
      </c>
      <c r="J7" s="94"/>
    </row>
    <row r="8" spans="2:10" ht="15" customHeight="1" x14ac:dyDescent="0.25">
      <c r="B8" s="91"/>
      <c r="C8" s="92">
        <v>26</v>
      </c>
      <c r="D8" s="43" t="s">
        <v>38</v>
      </c>
      <c r="E8" s="93" t="s">
        <v>60</v>
      </c>
      <c r="F8" s="93"/>
      <c r="G8" s="93"/>
      <c r="H8" s="93"/>
      <c r="I8" s="93"/>
      <c r="J8" s="94"/>
    </row>
    <row r="9" spans="2:10" ht="15" customHeight="1" x14ac:dyDescent="0.25">
      <c r="B9" s="91"/>
      <c r="C9" s="92"/>
      <c r="D9" s="47" t="s">
        <v>34</v>
      </c>
      <c r="E9" s="55" t="s">
        <v>1</v>
      </c>
      <c r="F9" s="55" t="s">
        <v>3</v>
      </c>
      <c r="G9" s="55" t="s">
        <v>123</v>
      </c>
      <c r="H9" s="55" t="s">
        <v>124</v>
      </c>
      <c r="I9" s="55" t="str">
        <f>I3</f>
        <v>Bartosz Supiński</v>
      </c>
      <c r="J9" s="94"/>
    </row>
    <row r="10" spans="2:10" ht="15" customHeight="1" x14ac:dyDescent="0.25">
      <c r="B10" s="91"/>
      <c r="C10" s="92">
        <v>27</v>
      </c>
      <c r="D10" s="43" t="s">
        <v>40</v>
      </c>
      <c r="E10" s="93" t="s">
        <v>61</v>
      </c>
      <c r="F10" s="93"/>
      <c r="G10" s="93"/>
      <c r="H10" s="93"/>
      <c r="I10" s="93"/>
      <c r="J10" s="94"/>
    </row>
    <row r="11" spans="2:10" ht="15" customHeight="1" x14ac:dyDescent="0.25">
      <c r="B11" s="91"/>
      <c r="C11" s="92"/>
      <c r="D11" s="47" t="s">
        <v>34</v>
      </c>
      <c r="E11" s="55" t="s">
        <v>1</v>
      </c>
      <c r="F11" s="55" t="s">
        <v>3</v>
      </c>
      <c r="G11" s="55" t="s">
        <v>123</v>
      </c>
      <c r="H11" s="55" t="s">
        <v>124</v>
      </c>
      <c r="I11" s="55" t="str">
        <f>I3</f>
        <v>Bartosz Supiński</v>
      </c>
      <c r="J11" s="94"/>
    </row>
    <row r="12" spans="2:10" ht="15" customHeight="1" x14ac:dyDescent="0.25">
      <c r="B12" s="91"/>
      <c r="C12" s="92">
        <v>28</v>
      </c>
      <c r="D12" s="43" t="s">
        <v>42</v>
      </c>
      <c r="E12" s="93" t="s">
        <v>61</v>
      </c>
      <c r="F12" s="93"/>
      <c r="G12" s="93"/>
      <c r="H12" s="93"/>
      <c r="I12" s="93"/>
      <c r="J12" s="94"/>
    </row>
    <row r="13" spans="2:10" ht="15" customHeight="1" x14ac:dyDescent="0.25">
      <c r="B13" s="91"/>
      <c r="C13" s="92"/>
      <c r="D13" s="47" t="s">
        <v>34</v>
      </c>
      <c r="E13" s="55" t="s">
        <v>1</v>
      </c>
      <c r="F13" s="55" t="s">
        <v>3</v>
      </c>
      <c r="G13" s="55" t="s">
        <v>123</v>
      </c>
      <c r="H13" s="55" t="s">
        <v>124</v>
      </c>
      <c r="I13" s="55" t="str">
        <f>I3</f>
        <v>Bartosz Supiński</v>
      </c>
      <c r="J13" s="94"/>
    </row>
    <row r="14" spans="2:10" ht="15" customHeight="1" x14ac:dyDescent="0.25">
      <c r="B14" s="91"/>
      <c r="C14" s="95"/>
      <c r="D14" s="96" t="s">
        <v>43</v>
      </c>
      <c r="E14" s="97" t="s">
        <v>44</v>
      </c>
      <c r="F14" s="97"/>
      <c r="G14" s="97"/>
      <c r="H14" s="97"/>
      <c r="I14" s="97"/>
      <c r="J14" s="94"/>
    </row>
    <row r="15" spans="2:10" ht="15" customHeight="1" x14ac:dyDescent="0.25">
      <c r="B15" s="91"/>
      <c r="C15" s="95"/>
      <c r="D15" s="96"/>
      <c r="E15" s="97"/>
      <c r="F15" s="97"/>
      <c r="G15" s="97"/>
      <c r="H15" s="97"/>
      <c r="I15" s="97"/>
      <c r="J15" s="94"/>
    </row>
    <row r="16" spans="2:10" ht="15" customHeight="1" x14ac:dyDescent="0.25">
      <c r="B16" s="91"/>
      <c r="C16" s="92">
        <v>29</v>
      </c>
      <c r="D16" s="43" t="s">
        <v>45</v>
      </c>
      <c r="E16" s="93" t="s">
        <v>62</v>
      </c>
      <c r="F16" s="93"/>
      <c r="G16" s="93"/>
      <c r="H16" s="93"/>
      <c r="I16" s="93"/>
      <c r="J16" s="94"/>
    </row>
    <row r="17" spans="2:10" ht="15" customHeight="1" x14ac:dyDescent="0.25">
      <c r="B17" s="91"/>
      <c r="C17" s="92"/>
      <c r="D17" s="47" t="s">
        <v>34</v>
      </c>
      <c r="E17" s="55" t="s">
        <v>1</v>
      </c>
      <c r="F17" s="55" t="s">
        <v>3</v>
      </c>
      <c r="G17" s="55" t="s">
        <v>123</v>
      </c>
      <c r="H17" s="55" t="s">
        <v>124</v>
      </c>
      <c r="I17" s="55" t="str">
        <f>I3</f>
        <v>Bartosz Supiński</v>
      </c>
      <c r="J17" s="94"/>
    </row>
    <row r="18" spans="2:10" ht="15" customHeight="1" x14ac:dyDescent="0.25">
      <c r="B18" s="91"/>
      <c r="C18" s="92">
        <v>30</v>
      </c>
      <c r="D18" s="43" t="s">
        <v>47</v>
      </c>
      <c r="E18" s="93" t="s">
        <v>62</v>
      </c>
      <c r="F18" s="93"/>
      <c r="G18" s="93"/>
      <c r="H18" s="93"/>
      <c r="I18" s="93"/>
      <c r="J18" s="94"/>
    </row>
    <row r="19" spans="2:10" ht="15" customHeight="1" x14ac:dyDescent="0.25">
      <c r="B19" s="91"/>
      <c r="C19" s="92"/>
      <c r="D19" s="47" t="s">
        <v>34</v>
      </c>
      <c r="E19" s="55" t="s">
        <v>1</v>
      </c>
      <c r="F19" s="55" t="s">
        <v>3</v>
      </c>
      <c r="G19" s="55" t="s">
        <v>123</v>
      </c>
      <c r="H19" s="55" t="s">
        <v>124</v>
      </c>
      <c r="I19" s="55" t="str">
        <f>I3</f>
        <v>Bartosz Supiński</v>
      </c>
      <c r="J19" s="94"/>
    </row>
    <row r="20" spans="2:10" ht="15" customHeight="1" x14ac:dyDescent="0.25">
      <c r="B20" s="91"/>
      <c r="C20" s="92">
        <v>31</v>
      </c>
      <c r="D20" s="43" t="s">
        <v>48</v>
      </c>
      <c r="E20" s="93" t="s">
        <v>63</v>
      </c>
      <c r="F20" s="93"/>
      <c r="G20" s="93"/>
      <c r="H20" s="93"/>
      <c r="I20" s="93"/>
      <c r="J20" s="94"/>
    </row>
    <row r="21" spans="2:10" ht="15" customHeight="1" x14ac:dyDescent="0.25">
      <c r="B21" s="91"/>
      <c r="C21" s="92"/>
      <c r="D21" s="47" t="s">
        <v>34</v>
      </c>
      <c r="E21" s="55" t="s">
        <v>1</v>
      </c>
      <c r="F21" s="55" t="s">
        <v>3</v>
      </c>
      <c r="G21" s="55" t="s">
        <v>123</v>
      </c>
      <c r="H21" s="55" t="s">
        <v>124</v>
      </c>
      <c r="I21" s="55" t="str">
        <f>I3</f>
        <v>Bartosz Supiński</v>
      </c>
      <c r="J21" s="94"/>
    </row>
    <row r="22" spans="2:10" ht="15" customHeight="1" x14ac:dyDescent="0.25">
      <c r="B22" s="91"/>
      <c r="C22" s="92">
        <v>32</v>
      </c>
      <c r="D22" s="43" t="s">
        <v>50</v>
      </c>
      <c r="E22" s="106" t="s">
        <v>64</v>
      </c>
      <c r="F22" s="106"/>
      <c r="G22" s="106"/>
      <c r="H22" s="106"/>
      <c r="I22" s="106"/>
      <c r="J22" s="94"/>
    </row>
    <row r="23" spans="2:10" ht="15" customHeight="1" x14ac:dyDescent="0.25">
      <c r="B23" s="91"/>
      <c r="C23" s="92"/>
      <c r="D23" s="47" t="s">
        <v>34</v>
      </c>
      <c r="E23" s="55" t="s">
        <v>1</v>
      </c>
      <c r="F23" s="55" t="s">
        <v>3</v>
      </c>
      <c r="G23" s="55" t="s">
        <v>123</v>
      </c>
      <c r="H23" s="55" t="s">
        <v>124</v>
      </c>
      <c r="I23" s="55" t="str">
        <f>I3</f>
        <v>Bartosz Supiński</v>
      </c>
      <c r="J23" s="94"/>
    </row>
    <row r="24" spans="2:10" ht="15" customHeight="1" x14ac:dyDescent="0.25">
      <c r="B24" s="91"/>
      <c r="C24" s="92">
        <v>33</v>
      </c>
      <c r="D24" s="43" t="s">
        <v>51</v>
      </c>
      <c r="E24" s="93" t="s">
        <v>65</v>
      </c>
      <c r="F24" s="93"/>
      <c r="G24" s="93"/>
      <c r="H24" s="93"/>
      <c r="I24" s="93"/>
      <c r="J24" s="94"/>
    </row>
    <row r="25" spans="2:10" ht="15" customHeight="1" x14ac:dyDescent="0.25">
      <c r="B25" s="91"/>
      <c r="C25" s="92"/>
      <c r="D25" s="47" t="s">
        <v>34</v>
      </c>
      <c r="E25" s="55" t="s">
        <v>1</v>
      </c>
      <c r="F25" s="55" t="s">
        <v>3</v>
      </c>
      <c r="G25" s="55" t="s">
        <v>123</v>
      </c>
      <c r="H25" s="55" t="s">
        <v>124</v>
      </c>
      <c r="I25" s="55" t="str">
        <f>I3</f>
        <v>Bartosz Supiński</v>
      </c>
      <c r="J25" s="94"/>
    </row>
    <row r="26" spans="2:10" ht="15" customHeight="1" x14ac:dyDescent="0.25">
      <c r="B26" s="6" t="s">
        <v>66</v>
      </c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E27" s="98"/>
      <c r="F27" s="98"/>
      <c r="G27" s="98"/>
      <c r="H27" s="98"/>
      <c r="I27" s="98"/>
      <c r="J27" s="49"/>
    </row>
    <row r="28" spans="2:10" ht="15" customHeight="1" x14ac:dyDescent="0.25">
      <c r="E28" s="98"/>
      <c r="F28" s="98"/>
      <c r="G28" s="98"/>
      <c r="H28" s="98"/>
      <c r="I28" s="98"/>
      <c r="J28" s="49"/>
    </row>
    <row r="29" spans="2:10" ht="15" customHeight="1" x14ac:dyDescent="0.25">
      <c r="E29" s="98"/>
      <c r="F29" s="98"/>
      <c r="G29" s="98"/>
      <c r="H29" s="98"/>
      <c r="I29" s="98"/>
      <c r="J29" s="49"/>
    </row>
    <row r="30" spans="2:10" ht="15" customHeight="1" x14ac:dyDescent="0.25">
      <c r="E30" s="98"/>
      <c r="F30" s="98"/>
      <c r="G30" s="98"/>
      <c r="H30" s="98"/>
      <c r="I30" s="98"/>
      <c r="J30" s="49"/>
    </row>
    <row r="31" spans="2:10" ht="15" customHeight="1" x14ac:dyDescent="0.25">
      <c r="E31" s="50"/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10:10" ht="15" customHeight="1" x14ac:dyDescent="0.25">
      <c r="J33" s="49"/>
    </row>
    <row r="34" spans="10:10" ht="15" customHeight="1" x14ac:dyDescent="0.25">
      <c r="J34" s="49"/>
    </row>
    <row r="35" spans="10:10" ht="15" customHeight="1" x14ac:dyDescent="0.25">
      <c r="J35" s="49"/>
    </row>
    <row r="36" spans="10:10" ht="15" customHeight="1" x14ac:dyDescent="0.25">
      <c r="J36" s="49"/>
    </row>
    <row r="37" spans="10:10" ht="15" customHeight="1" x14ac:dyDescent="0.25">
      <c r="J37" s="49"/>
    </row>
    <row r="38" spans="10:10" ht="15" customHeight="1" x14ac:dyDescent="0.25">
      <c r="J38" s="49"/>
    </row>
    <row r="39" spans="10:10" ht="15" customHeight="1" x14ac:dyDescent="0.25">
      <c r="J39" s="49"/>
    </row>
    <row r="40" spans="10:10" ht="15" customHeight="1" x14ac:dyDescent="0.25">
      <c r="J40" s="49"/>
    </row>
    <row r="41" spans="10:10" ht="15" customHeight="1" x14ac:dyDescent="0.25">
      <c r="J41" s="49"/>
    </row>
    <row r="42" spans="10:10" ht="15" customHeight="1" x14ac:dyDescent="0.25">
      <c r="J42" s="49"/>
    </row>
    <row r="43" spans="10:10" ht="15" customHeight="1" x14ac:dyDescent="0.25">
      <c r="J43" s="49"/>
    </row>
    <row r="44" spans="10:10" ht="15" customHeight="1" x14ac:dyDescent="0.25">
      <c r="J44" s="49"/>
    </row>
    <row r="45" spans="10:10" ht="15" customHeight="1" x14ac:dyDescent="0.25">
      <c r="J45" s="49"/>
    </row>
    <row r="46" spans="10:10" ht="15" customHeight="1" x14ac:dyDescent="0.25">
      <c r="J46" s="49"/>
    </row>
    <row r="47" spans="10:10" x14ac:dyDescent="0.25">
      <c r="J47" s="51"/>
    </row>
    <row r="48" spans="10:10" x14ac:dyDescent="0.25">
      <c r="J48" s="51"/>
    </row>
    <row r="49" spans="10:10" x14ac:dyDescent="0.25">
      <c r="J49" s="51"/>
    </row>
  </sheetData>
  <mergeCells count="29">
    <mergeCell ref="E14:I15"/>
    <mergeCell ref="E29:I30"/>
    <mergeCell ref="C16:C17"/>
    <mergeCell ref="E16:I16"/>
    <mergeCell ref="C18:C19"/>
    <mergeCell ref="E18:I18"/>
    <mergeCell ref="C20:C21"/>
    <mergeCell ref="E20:I20"/>
    <mergeCell ref="C22:C23"/>
    <mergeCell ref="E22:I22"/>
    <mergeCell ref="C24:C25"/>
    <mergeCell ref="E24:I24"/>
    <mergeCell ref="E27:I28"/>
    <mergeCell ref="B2:B25"/>
    <mergeCell ref="C2:C3"/>
    <mergeCell ref="E2:I2"/>
    <mergeCell ref="J3:J25"/>
    <mergeCell ref="C4:C5"/>
    <mergeCell ref="E4:I4"/>
    <mergeCell ref="C6:C7"/>
    <mergeCell ref="E6:I6"/>
    <mergeCell ref="C8:C9"/>
    <mergeCell ref="E8:I8"/>
    <mergeCell ref="C10:C11"/>
    <mergeCell ref="E10:I10"/>
    <mergeCell ref="C12:C13"/>
    <mergeCell ref="E12:I12"/>
    <mergeCell ref="C14:C15"/>
    <mergeCell ref="D14:D15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2D96-FE10-4CA8-AB95-3591985E5325}">
  <dimension ref="A1:J49"/>
  <sheetViews>
    <sheetView topLeftCell="G1" zoomScale="152" workbookViewId="0">
      <selection activeCell="J3" sqref="J3:J25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5.7109375" hidden="1" customWidth="1"/>
    <col min="10" max="10" width="18" style="52" customWidth="1"/>
    <col min="11" max="11" width="9.140625" customWidth="1"/>
  </cols>
  <sheetData>
    <row r="1" spans="1:10" ht="36" customHeight="1" x14ac:dyDescent="0.25">
      <c r="A1" s="57"/>
      <c r="B1" s="36" t="s">
        <v>22</v>
      </c>
      <c r="C1" s="42" t="s">
        <v>23</v>
      </c>
      <c r="D1" s="43" t="s">
        <v>24</v>
      </c>
      <c r="E1" s="43" t="s">
        <v>25</v>
      </c>
      <c r="F1" s="43" t="s">
        <v>26</v>
      </c>
      <c r="G1" s="43" t="s">
        <v>27</v>
      </c>
      <c r="H1" s="43" t="s">
        <v>28</v>
      </c>
      <c r="I1" s="43" t="s">
        <v>29</v>
      </c>
      <c r="J1" s="45" t="s">
        <v>30</v>
      </c>
    </row>
    <row r="2" spans="1:10" ht="43.5" customHeight="1" x14ac:dyDescent="0.25">
      <c r="B2" s="91" t="s">
        <v>129</v>
      </c>
      <c r="C2" s="92">
        <v>34</v>
      </c>
      <c r="D2" s="43" t="s">
        <v>31</v>
      </c>
      <c r="E2" s="107" t="s">
        <v>67</v>
      </c>
      <c r="F2" s="107"/>
      <c r="G2" s="107"/>
      <c r="H2" s="107"/>
      <c r="I2" s="107"/>
      <c r="J2" s="45" t="s">
        <v>33</v>
      </c>
    </row>
    <row r="3" spans="1:10" ht="15.75" customHeight="1" x14ac:dyDescent="0.25">
      <c r="B3" s="91"/>
      <c r="C3" s="92"/>
      <c r="D3" s="46" t="s">
        <v>34</v>
      </c>
      <c r="E3" s="108" t="s">
        <v>125</v>
      </c>
      <c r="F3" s="108"/>
      <c r="G3" s="108"/>
      <c r="H3" s="108"/>
      <c r="I3" s="108"/>
      <c r="J3" s="94" t="s">
        <v>132</v>
      </c>
    </row>
    <row r="4" spans="1:10" ht="15" customHeight="1" x14ac:dyDescent="0.25">
      <c r="B4" s="91"/>
      <c r="C4" s="92">
        <v>35</v>
      </c>
      <c r="D4" s="43" t="s">
        <v>35</v>
      </c>
      <c r="E4" s="58" t="s">
        <v>68</v>
      </c>
      <c r="F4" s="53" t="s">
        <v>69</v>
      </c>
      <c r="G4" s="53" t="s">
        <v>69</v>
      </c>
      <c r="H4" s="53" t="s">
        <v>69</v>
      </c>
      <c r="I4" s="53" t="s">
        <v>69</v>
      </c>
      <c r="J4" s="94"/>
    </row>
    <row r="5" spans="1:10" ht="15" customHeight="1" x14ac:dyDescent="0.25">
      <c r="B5" s="91"/>
      <c r="C5" s="92"/>
      <c r="D5" s="47" t="s">
        <v>34</v>
      </c>
      <c r="E5" s="59" t="s">
        <v>125</v>
      </c>
      <c r="F5" s="60" t="s">
        <v>3</v>
      </c>
      <c r="G5" s="60" t="s">
        <v>123</v>
      </c>
      <c r="H5" s="60" t="s">
        <v>124</v>
      </c>
      <c r="I5" s="60" t="str">
        <f>DANE_PODSTAWOWE!H5</f>
        <v>Bartosz Supiński</v>
      </c>
      <c r="J5" s="94"/>
    </row>
    <row r="6" spans="1:10" ht="15" customHeight="1" x14ac:dyDescent="0.25">
      <c r="B6" s="91"/>
      <c r="C6" s="92">
        <v>36</v>
      </c>
      <c r="D6" s="43" t="s">
        <v>36</v>
      </c>
      <c r="E6" s="58" t="s">
        <v>68</v>
      </c>
      <c r="F6" s="53" t="s">
        <v>69</v>
      </c>
      <c r="G6" s="53" t="s">
        <v>69</v>
      </c>
      <c r="H6" s="53" t="s">
        <v>69</v>
      </c>
      <c r="I6" s="53" t="s">
        <v>69</v>
      </c>
      <c r="J6" s="94"/>
    </row>
    <row r="7" spans="1:10" ht="15" customHeight="1" x14ac:dyDescent="0.25">
      <c r="B7" s="91"/>
      <c r="C7" s="92"/>
      <c r="D7" s="47" t="s">
        <v>34</v>
      </c>
      <c r="E7" s="61" t="s">
        <v>125</v>
      </c>
      <c r="F7" s="55" t="s">
        <v>3</v>
      </c>
      <c r="G7" s="55" t="s">
        <v>123</v>
      </c>
      <c r="H7" s="55" t="s">
        <v>124</v>
      </c>
      <c r="I7" s="55" t="str">
        <f>I5</f>
        <v>Bartosz Supiński</v>
      </c>
      <c r="J7" s="94"/>
    </row>
    <row r="8" spans="1:10" ht="15" customHeight="1" x14ac:dyDescent="0.25">
      <c r="B8" s="91"/>
      <c r="C8" s="92">
        <v>37</v>
      </c>
      <c r="D8" s="43" t="s">
        <v>38</v>
      </c>
      <c r="E8" s="53" t="s">
        <v>69</v>
      </c>
      <c r="F8" s="58" t="s">
        <v>68</v>
      </c>
      <c r="G8" s="53" t="s">
        <v>69</v>
      </c>
      <c r="H8" s="53" t="s">
        <v>69</v>
      </c>
      <c r="I8" s="53" t="s">
        <v>69</v>
      </c>
      <c r="J8" s="94"/>
    </row>
    <row r="9" spans="1:10" ht="15" customHeight="1" x14ac:dyDescent="0.25">
      <c r="B9" s="91"/>
      <c r="C9" s="92"/>
      <c r="D9" s="47" t="s">
        <v>34</v>
      </c>
      <c r="E9" s="60" t="s">
        <v>1</v>
      </c>
      <c r="F9" s="61" t="s">
        <v>125</v>
      </c>
      <c r="G9" s="55" t="s">
        <v>123</v>
      </c>
      <c r="H9" s="55" t="s">
        <v>124</v>
      </c>
      <c r="I9" s="55" t="str">
        <f>I5</f>
        <v>Bartosz Supiński</v>
      </c>
      <c r="J9" s="94"/>
    </row>
    <row r="10" spans="1:10" ht="15" customHeight="1" x14ac:dyDescent="0.25">
      <c r="B10" s="91"/>
      <c r="C10" s="92">
        <v>38</v>
      </c>
      <c r="D10" s="43" t="s">
        <v>40</v>
      </c>
      <c r="E10" s="53" t="s">
        <v>69</v>
      </c>
      <c r="F10" s="58" t="s">
        <v>68</v>
      </c>
      <c r="G10" s="53" t="s">
        <v>69</v>
      </c>
      <c r="H10" s="53" t="s">
        <v>69</v>
      </c>
      <c r="I10" s="53" t="s">
        <v>69</v>
      </c>
      <c r="J10" s="94"/>
    </row>
    <row r="11" spans="1:10" ht="15" customHeight="1" x14ac:dyDescent="0.25">
      <c r="B11" s="91"/>
      <c r="C11" s="92"/>
      <c r="D11" s="47" t="s">
        <v>34</v>
      </c>
      <c r="E11" s="55" t="s">
        <v>1</v>
      </c>
      <c r="F11" s="61" t="s">
        <v>125</v>
      </c>
      <c r="G11" s="55" t="s">
        <v>123</v>
      </c>
      <c r="H11" s="55" t="s">
        <v>124</v>
      </c>
      <c r="I11" s="55" t="str">
        <f>I5</f>
        <v>Bartosz Supiński</v>
      </c>
      <c r="J11" s="94"/>
    </row>
    <row r="12" spans="1:10" ht="15" customHeight="1" x14ac:dyDescent="0.25">
      <c r="B12" s="91"/>
      <c r="C12" s="92">
        <v>39</v>
      </c>
      <c r="D12" s="43" t="s">
        <v>42</v>
      </c>
      <c r="E12" s="53" t="s">
        <v>69</v>
      </c>
      <c r="F12" s="53" t="s">
        <v>69</v>
      </c>
      <c r="G12" s="58" t="s">
        <v>68</v>
      </c>
      <c r="H12" s="56" t="s">
        <v>69</v>
      </c>
      <c r="I12" s="53" t="s">
        <v>70</v>
      </c>
      <c r="J12" s="94"/>
    </row>
    <row r="13" spans="1:10" ht="15" customHeight="1" x14ac:dyDescent="0.25">
      <c r="B13" s="91"/>
      <c r="C13" s="92"/>
      <c r="D13" s="47" t="s">
        <v>34</v>
      </c>
      <c r="E13" s="55" t="s">
        <v>1</v>
      </c>
      <c r="F13" s="55" t="s">
        <v>3</v>
      </c>
      <c r="G13" s="61" t="s">
        <v>125</v>
      </c>
      <c r="H13" s="55" t="s">
        <v>124</v>
      </c>
      <c r="I13" s="55" t="str">
        <f>I5</f>
        <v>Bartosz Supiński</v>
      </c>
      <c r="J13" s="94"/>
    </row>
    <row r="14" spans="1:10" ht="15" customHeight="1" x14ac:dyDescent="0.25">
      <c r="B14" s="91"/>
      <c r="C14" s="95"/>
      <c r="D14" s="96" t="s">
        <v>43</v>
      </c>
      <c r="E14" s="97" t="s">
        <v>44</v>
      </c>
      <c r="F14" s="97"/>
      <c r="G14" s="97"/>
      <c r="H14" s="97"/>
      <c r="I14" s="97"/>
      <c r="J14" s="94"/>
    </row>
    <row r="15" spans="1:10" ht="15" customHeight="1" x14ac:dyDescent="0.25">
      <c r="B15" s="91"/>
      <c r="C15" s="95"/>
      <c r="D15" s="96"/>
      <c r="E15" s="97"/>
      <c r="F15" s="97"/>
      <c r="G15" s="97"/>
      <c r="H15" s="97"/>
      <c r="I15" s="97"/>
      <c r="J15" s="94"/>
    </row>
    <row r="16" spans="1:10" ht="15" customHeight="1" x14ac:dyDescent="0.25">
      <c r="B16" s="91"/>
      <c r="C16" s="92">
        <v>40</v>
      </c>
      <c r="D16" s="43" t="s">
        <v>45</v>
      </c>
      <c r="E16" s="53" t="s">
        <v>70</v>
      </c>
      <c r="F16" s="53" t="s">
        <v>70</v>
      </c>
      <c r="G16" s="58" t="s">
        <v>68</v>
      </c>
      <c r="H16" s="53" t="s">
        <v>70</v>
      </c>
      <c r="I16" s="53" t="s">
        <v>70</v>
      </c>
      <c r="J16" s="94"/>
    </row>
    <row r="17" spans="2:10" ht="15" customHeight="1" x14ac:dyDescent="0.25">
      <c r="B17" s="91"/>
      <c r="C17" s="92"/>
      <c r="D17" s="47" t="s">
        <v>34</v>
      </c>
      <c r="E17" s="55" t="s">
        <v>1</v>
      </c>
      <c r="F17" s="55" t="s">
        <v>3</v>
      </c>
      <c r="G17" s="61" t="s">
        <v>125</v>
      </c>
      <c r="H17" s="55" t="s">
        <v>124</v>
      </c>
      <c r="I17" s="55" t="str">
        <f>I5</f>
        <v>Bartosz Supiński</v>
      </c>
      <c r="J17" s="94"/>
    </row>
    <row r="18" spans="2:10" ht="15" customHeight="1" x14ac:dyDescent="0.25">
      <c r="B18" s="91"/>
      <c r="C18" s="92">
        <v>41</v>
      </c>
      <c r="D18" s="43" t="s">
        <v>47</v>
      </c>
      <c r="E18" s="53" t="s">
        <v>70</v>
      </c>
      <c r="F18" s="53" t="s">
        <v>70</v>
      </c>
      <c r="G18" s="53" t="s">
        <v>70</v>
      </c>
      <c r="H18" s="58" t="s">
        <v>68</v>
      </c>
      <c r="I18" s="56" t="s">
        <v>69</v>
      </c>
      <c r="J18" s="94"/>
    </row>
    <row r="19" spans="2:10" ht="15" customHeight="1" x14ac:dyDescent="0.25">
      <c r="B19" s="91"/>
      <c r="C19" s="92"/>
      <c r="D19" s="47" t="s">
        <v>34</v>
      </c>
      <c r="E19" s="55" t="s">
        <v>1</v>
      </c>
      <c r="F19" s="55" t="s">
        <v>3</v>
      </c>
      <c r="G19" s="55" t="s">
        <v>123</v>
      </c>
      <c r="H19" s="61" t="s">
        <v>125</v>
      </c>
      <c r="I19" s="55" t="str">
        <f>I5</f>
        <v>Bartosz Supiński</v>
      </c>
      <c r="J19" s="94"/>
    </row>
    <row r="20" spans="2:10" ht="15" customHeight="1" x14ac:dyDescent="0.25">
      <c r="B20" s="91"/>
      <c r="C20" s="92">
        <v>42</v>
      </c>
      <c r="D20" s="43" t="s">
        <v>48</v>
      </c>
      <c r="E20" s="53" t="s">
        <v>70</v>
      </c>
      <c r="F20" s="53" t="s">
        <v>69</v>
      </c>
      <c r="G20" s="53" t="s">
        <v>70</v>
      </c>
      <c r="H20" s="58" t="s">
        <v>68</v>
      </c>
      <c r="I20" s="53" t="s">
        <v>70</v>
      </c>
      <c r="J20" s="94"/>
    </row>
    <row r="21" spans="2:10" ht="15" customHeight="1" x14ac:dyDescent="0.25">
      <c r="B21" s="91"/>
      <c r="C21" s="92"/>
      <c r="D21" s="47" t="s">
        <v>34</v>
      </c>
      <c r="E21" s="55" t="s">
        <v>1</v>
      </c>
      <c r="F21" s="55" t="s">
        <v>3</v>
      </c>
      <c r="G21" s="55" t="s">
        <v>123</v>
      </c>
      <c r="H21" s="61" t="s">
        <v>125</v>
      </c>
      <c r="I21" s="55" t="str">
        <f>I5</f>
        <v>Bartosz Supiński</v>
      </c>
      <c r="J21" s="94"/>
    </row>
    <row r="22" spans="2:10" ht="15" customHeight="1" x14ac:dyDescent="0.25">
      <c r="B22" s="91"/>
      <c r="C22" s="92">
        <v>43</v>
      </c>
      <c r="D22" s="43" t="s">
        <v>50</v>
      </c>
      <c r="E22" s="56" t="s">
        <v>69</v>
      </c>
      <c r="F22" s="53" t="s">
        <v>70</v>
      </c>
      <c r="G22" s="56" t="s">
        <v>69</v>
      </c>
      <c r="H22" s="53" t="s">
        <v>70</v>
      </c>
      <c r="I22" s="58" t="s">
        <v>68</v>
      </c>
      <c r="J22" s="94"/>
    </row>
    <row r="23" spans="2:10" ht="15" customHeight="1" x14ac:dyDescent="0.25">
      <c r="B23" s="91"/>
      <c r="C23" s="92"/>
      <c r="D23" s="47" t="s">
        <v>34</v>
      </c>
      <c r="E23" s="55" t="s">
        <v>1</v>
      </c>
      <c r="F23" s="55" t="s">
        <v>3</v>
      </c>
      <c r="G23" s="55" t="s">
        <v>123</v>
      </c>
      <c r="H23" s="55" t="s">
        <v>124</v>
      </c>
      <c r="I23" s="61" t="str">
        <f>E5</f>
        <v>{{psychologist}}</v>
      </c>
      <c r="J23" s="94"/>
    </row>
    <row r="24" spans="2:10" ht="15" customHeight="1" x14ac:dyDescent="0.25">
      <c r="B24" s="91"/>
      <c r="C24" s="92">
        <v>44</v>
      </c>
      <c r="D24" s="43" t="s">
        <v>51</v>
      </c>
      <c r="E24" s="53" t="s">
        <v>69</v>
      </c>
      <c r="F24" s="53" t="s">
        <v>71</v>
      </c>
      <c r="G24" s="53" t="s">
        <v>70</v>
      </c>
      <c r="H24" s="53" t="s">
        <v>70</v>
      </c>
      <c r="I24" s="58" t="s">
        <v>68</v>
      </c>
      <c r="J24" s="94"/>
    </row>
    <row r="25" spans="2:10" ht="15" customHeight="1" x14ac:dyDescent="0.25">
      <c r="B25" s="91"/>
      <c r="C25" s="92"/>
      <c r="D25" s="47" t="s">
        <v>34</v>
      </c>
      <c r="E25" s="55" t="s">
        <v>1</v>
      </c>
      <c r="F25" s="55" t="s">
        <v>3</v>
      </c>
      <c r="G25" s="55" t="s">
        <v>123</v>
      </c>
      <c r="H25" s="55" t="s">
        <v>124</v>
      </c>
      <c r="I25" s="61" t="str">
        <f>E5</f>
        <v>{{psychologist}}</v>
      </c>
      <c r="J25" s="94"/>
    </row>
    <row r="26" spans="2:10" ht="15" customHeight="1" x14ac:dyDescent="0.25">
      <c r="B26" s="6" t="s">
        <v>66</v>
      </c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D27" s="6" t="s">
        <v>52</v>
      </c>
      <c r="E27" s="109" t="s">
        <v>72</v>
      </c>
      <c r="F27" s="109"/>
      <c r="G27" s="109"/>
      <c r="H27" s="109"/>
      <c r="I27" s="109"/>
      <c r="J27" s="49"/>
    </row>
    <row r="28" spans="2:10" ht="15" customHeight="1" x14ac:dyDescent="0.25">
      <c r="E28" s="109"/>
      <c r="F28" s="109"/>
      <c r="G28" s="109"/>
      <c r="H28" s="109"/>
      <c r="I28" s="109"/>
      <c r="J28" s="49"/>
    </row>
    <row r="29" spans="2:10" ht="15" customHeight="1" x14ac:dyDescent="0.25">
      <c r="E29" s="110" t="s">
        <v>73</v>
      </c>
      <c r="F29" s="110"/>
      <c r="G29" s="110"/>
      <c r="H29" s="110"/>
      <c r="I29" s="110"/>
      <c r="J29" s="49"/>
    </row>
    <row r="30" spans="2:10" ht="15" customHeight="1" x14ac:dyDescent="0.25">
      <c r="E30" s="110"/>
      <c r="F30" s="110"/>
      <c r="G30" s="110"/>
      <c r="H30" s="110"/>
      <c r="I30" s="110"/>
      <c r="J30" s="49"/>
    </row>
    <row r="31" spans="2:10" ht="15" customHeight="1" x14ac:dyDescent="0.25">
      <c r="E31" s="50" t="s">
        <v>74</v>
      </c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4:10" ht="15" customHeight="1" x14ac:dyDescent="0.25">
      <c r="J33" s="49"/>
    </row>
    <row r="34" spans="4:10" ht="15" customHeight="1" x14ac:dyDescent="0.25">
      <c r="D34" s="49"/>
      <c r="J34"/>
    </row>
    <row r="35" spans="4:10" ht="15" customHeight="1" x14ac:dyDescent="0.25">
      <c r="D35" s="49"/>
      <c r="J35"/>
    </row>
    <row r="36" spans="4:10" ht="15" customHeight="1" x14ac:dyDescent="0.25">
      <c r="D36" s="49"/>
      <c r="J36"/>
    </row>
    <row r="37" spans="4:10" ht="15" customHeight="1" x14ac:dyDescent="0.25">
      <c r="D37" s="49"/>
      <c r="J37"/>
    </row>
    <row r="38" spans="4:10" ht="15" customHeight="1" x14ac:dyDescent="0.25">
      <c r="J38" s="49"/>
    </row>
    <row r="39" spans="4:10" ht="15" customHeight="1" x14ac:dyDescent="0.25">
      <c r="J39" s="49"/>
    </row>
    <row r="40" spans="4:10" ht="15" customHeight="1" x14ac:dyDescent="0.25">
      <c r="J40" s="49"/>
    </row>
    <row r="41" spans="4:10" ht="15" customHeight="1" x14ac:dyDescent="0.25">
      <c r="J41" s="49"/>
    </row>
    <row r="42" spans="4:10" ht="15" customHeight="1" x14ac:dyDescent="0.25">
      <c r="J42" s="49"/>
    </row>
    <row r="43" spans="4:10" ht="15" customHeight="1" x14ac:dyDescent="0.25">
      <c r="J43" s="49"/>
    </row>
    <row r="44" spans="4:10" ht="15" customHeight="1" x14ac:dyDescent="0.25">
      <c r="J44" s="49"/>
    </row>
    <row r="45" spans="4:10" ht="15" customHeight="1" x14ac:dyDescent="0.25">
      <c r="J45" s="49"/>
    </row>
    <row r="46" spans="4:10" ht="15" customHeight="1" x14ac:dyDescent="0.25">
      <c r="J46" s="49"/>
    </row>
    <row r="47" spans="4:10" x14ac:dyDescent="0.25">
      <c r="J47" s="51"/>
    </row>
    <row r="48" spans="4:10" x14ac:dyDescent="0.25">
      <c r="J48" s="51"/>
    </row>
    <row r="49" spans="10:10" x14ac:dyDescent="0.25">
      <c r="J49" s="51"/>
    </row>
  </sheetData>
  <mergeCells count="20">
    <mergeCell ref="E27:I28"/>
    <mergeCell ref="E29:I30"/>
    <mergeCell ref="C14:C15"/>
    <mergeCell ref="D14:D15"/>
    <mergeCell ref="E14:I15"/>
    <mergeCell ref="C16:C17"/>
    <mergeCell ref="C18:C19"/>
    <mergeCell ref="C20:C21"/>
    <mergeCell ref="B2:B25"/>
    <mergeCell ref="C2:C3"/>
    <mergeCell ref="E2:I2"/>
    <mergeCell ref="E3:I3"/>
    <mergeCell ref="J3:J25"/>
    <mergeCell ref="C4:C5"/>
    <mergeCell ref="C6:C7"/>
    <mergeCell ref="C8:C9"/>
    <mergeCell ref="C10:C11"/>
    <mergeCell ref="C12:C13"/>
    <mergeCell ref="C22:C23"/>
    <mergeCell ref="C24:C25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8EA3-08D5-4528-ADC0-F20FAED030B1}">
  <dimension ref="B1:J49"/>
  <sheetViews>
    <sheetView tabSelected="1" topLeftCell="B1" zoomScale="131" workbookViewId="0">
      <selection activeCell="E5" sqref="E5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5.7109375" hidden="1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22</v>
      </c>
      <c r="C1" s="42" t="s">
        <v>23</v>
      </c>
      <c r="D1" s="43" t="s">
        <v>24</v>
      </c>
      <c r="E1" s="43" t="s">
        <v>25</v>
      </c>
      <c r="F1" s="43" t="s">
        <v>26</v>
      </c>
      <c r="G1" s="43" t="s">
        <v>27</v>
      </c>
      <c r="H1" s="43" t="s">
        <v>28</v>
      </c>
      <c r="I1" s="43" t="s">
        <v>29</v>
      </c>
      <c r="J1" s="45" t="s">
        <v>30</v>
      </c>
    </row>
    <row r="2" spans="2:10" ht="39.950000000000003" customHeight="1" x14ac:dyDescent="0.25">
      <c r="B2" s="91" t="s">
        <v>130</v>
      </c>
      <c r="C2" s="92">
        <v>45</v>
      </c>
      <c r="D2" s="43" t="s">
        <v>31</v>
      </c>
      <c r="E2" s="93" t="s">
        <v>75</v>
      </c>
      <c r="F2" s="93"/>
      <c r="G2" s="93"/>
      <c r="H2" s="93"/>
      <c r="I2" s="93"/>
      <c r="J2" s="45" t="s">
        <v>33</v>
      </c>
    </row>
    <row r="3" spans="2:10" ht="15.75" customHeight="1" x14ac:dyDescent="0.25">
      <c r="B3" s="91"/>
      <c r="C3" s="92"/>
      <c r="D3" s="46" t="s">
        <v>34</v>
      </c>
      <c r="E3" s="54" t="s">
        <v>1</v>
      </c>
      <c r="F3" s="54" t="s">
        <v>3</v>
      </c>
      <c r="G3" s="54" t="s">
        <v>123</v>
      </c>
      <c r="H3" s="54" t="s">
        <v>124</v>
      </c>
      <c r="I3" s="54" t="str">
        <f>DANE_PODSTAWOWE!H5</f>
        <v>Bartosz Supiński</v>
      </c>
      <c r="J3" s="94" t="s">
        <v>132</v>
      </c>
    </row>
    <row r="4" spans="2:10" ht="39.950000000000003" customHeight="1" x14ac:dyDescent="0.25">
      <c r="B4" s="91"/>
      <c r="C4" s="92">
        <v>46</v>
      </c>
      <c r="D4" s="43" t="s">
        <v>35</v>
      </c>
      <c r="E4" s="93" t="s">
        <v>75</v>
      </c>
      <c r="F4" s="93"/>
      <c r="G4" s="93"/>
      <c r="H4" s="93"/>
      <c r="I4" s="93"/>
      <c r="J4" s="94"/>
    </row>
    <row r="5" spans="2:10" ht="15" customHeight="1" x14ac:dyDescent="0.25">
      <c r="B5" s="91"/>
      <c r="C5" s="92"/>
      <c r="D5" s="47" t="s">
        <v>34</v>
      </c>
      <c r="E5" s="55" t="s">
        <v>1</v>
      </c>
      <c r="F5" s="55" t="s">
        <v>3</v>
      </c>
      <c r="G5" s="55" t="s">
        <v>123</v>
      </c>
      <c r="H5" s="55" t="s">
        <v>124</v>
      </c>
      <c r="I5" s="55" t="str">
        <f>I3</f>
        <v>Bartosz Supiński</v>
      </c>
      <c r="J5" s="94"/>
    </row>
    <row r="6" spans="2:10" ht="30.75" customHeight="1" x14ac:dyDescent="0.25">
      <c r="B6" s="91"/>
      <c r="C6" s="92">
        <v>47</v>
      </c>
      <c r="D6" s="43" t="s">
        <v>36</v>
      </c>
      <c r="E6" s="93" t="s">
        <v>76</v>
      </c>
      <c r="F6" s="93"/>
      <c r="G6" s="93"/>
      <c r="H6" s="93"/>
      <c r="I6" s="93"/>
      <c r="J6" s="94"/>
    </row>
    <row r="7" spans="2:10" ht="15" customHeight="1" x14ac:dyDescent="0.25">
      <c r="B7" s="91"/>
      <c r="C7" s="92"/>
      <c r="D7" s="47" t="s">
        <v>34</v>
      </c>
      <c r="E7" s="111" t="s">
        <v>1</v>
      </c>
      <c r="F7" s="111"/>
      <c r="G7" s="111"/>
      <c r="H7" s="111"/>
      <c r="I7" s="111"/>
      <c r="J7" s="94"/>
    </row>
    <row r="8" spans="2:10" ht="39.950000000000003" customHeight="1" x14ac:dyDescent="0.25">
      <c r="B8" s="91"/>
      <c r="C8" s="92">
        <v>48</v>
      </c>
      <c r="D8" s="43" t="s">
        <v>38</v>
      </c>
      <c r="E8" s="93" t="s">
        <v>76</v>
      </c>
      <c r="F8" s="93"/>
      <c r="G8" s="93"/>
      <c r="H8" s="93"/>
      <c r="I8" s="93"/>
      <c r="J8" s="94"/>
    </row>
    <row r="9" spans="2:10" ht="15" customHeight="1" x14ac:dyDescent="0.25">
      <c r="B9" s="91"/>
      <c r="C9" s="92"/>
      <c r="D9" s="47" t="s">
        <v>34</v>
      </c>
      <c r="E9" s="111" t="s">
        <v>1</v>
      </c>
      <c r="F9" s="111"/>
      <c r="G9" s="111"/>
      <c r="H9" s="111"/>
      <c r="I9" s="111"/>
      <c r="J9" s="94"/>
    </row>
    <row r="10" spans="2:10" ht="39.950000000000003" customHeight="1" x14ac:dyDescent="0.25">
      <c r="B10" s="91"/>
      <c r="C10" s="92">
        <v>49</v>
      </c>
      <c r="D10" s="43" t="s">
        <v>40</v>
      </c>
      <c r="E10" s="93" t="s">
        <v>77</v>
      </c>
      <c r="F10" s="93"/>
      <c r="G10" s="93"/>
      <c r="H10" s="93"/>
      <c r="I10" s="93"/>
      <c r="J10" s="94"/>
    </row>
    <row r="11" spans="2:10" ht="15" customHeight="1" x14ac:dyDescent="0.25">
      <c r="B11" s="91"/>
      <c r="C11" s="92"/>
      <c r="D11" s="47" t="s">
        <v>34</v>
      </c>
      <c r="E11" s="62" t="s">
        <v>1</v>
      </c>
      <c r="F11" s="62" t="s">
        <v>3</v>
      </c>
      <c r="G11" s="62" t="s">
        <v>123</v>
      </c>
      <c r="H11" s="62" t="s">
        <v>124</v>
      </c>
      <c r="I11" s="62" t="str">
        <f>I3</f>
        <v>Bartosz Supiński</v>
      </c>
      <c r="J11" s="94"/>
    </row>
    <row r="12" spans="2:10" ht="33" customHeight="1" x14ac:dyDescent="0.25">
      <c r="B12" s="91"/>
      <c r="C12" s="92">
        <v>50</v>
      </c>
      <c r="D12" s="43" t="s">
        <v>42</v>
      </c>
      <c r="E12" s="93" t="s">
        <v>77</v>
      </c>
      <c r="F12" s="93"/>
      <c r="G12" s="93"/>
      <c r="H12" s="93"/>
      <c r="I12" s="93"/>
      <c r="J12" s="94"/>
    </row>
    <row r="13" spans="2:10" ht="18.75" customHeight="1" x14ac:dyDescent="0.25">
      <c r="B13" s="91"/>
      <c r="C13" s="92"/>
      <c r="D13" s="47" t="s">
        <v>34</v>
      </c>
      <c r="E13" s="55" t="s">
        <v>1</v>
      </c>
      <c r="F13" s="55" t="s">
        <v>3</v>
      </c>
      <c r="G13" s="55" t="s">
        <v>123</v>
      </c>
      <c r="H13" s="55" t="s">
        <v>124</v>
      </c>
      <c r="I13" s="55" t="str">
        <f>I3</f>
        <v>Bartosz Supiński</v>
      </c>
      <c r="J13" s="94"/>
    </row>
    <row r="14" spans="2:10" ht="15" customHeight="1" x14ac:dyDescent="0.25">
      <c r="B14" s="91"/>
      <c r="C14" s="95"/>
      <c r="D14" s="96" t="s">
        <v>43</v>
      </c>
      <c r="E14" s="97" t="s">
        <v>44</v>
      </c>
      <c r="F14" s="97"/>
      <c r="G14" s="97"/>
      <c r="H14" s="97"/>
      <c r="I14" s="97"/>
      <c r="J14" s="94"/>
    </row>
    <row r="15" spans="2:10" ht="15" customHeight="1" x14ac:dyDescent="0.25">
      <c r="B15" s="91"/>
      <c r="C15" s="95"/>
      <c r="D15" s="96"/>
      <c r="E15" s="97"/>
      <c r="F15" s="97"/>
      <c r="G15" s="97"/>
      <c r="H15" s="97"/>
      <c r="I15" s="97"/>
      <c r="J15" s="94"/>
    </row>
    <row r="16" spans="2:10" ht="39.950000000000003" customHeight="1" x14ac:dyDescent="0.25">
      <c r="B16" s="91"/>
      <c r="C16" s="92">
        <v>51</v>
      </c>
      <c r="D16" s="43" t="s">
        <v>45</v>
      </c>
      <c r="E16" s="93" t="s">
        <v>77</v>
      </c>
      <c r="F16" s="93"/>
      <c r="G16" s="93"/>
      <c r="H16" s="93"/>
      <c r="I16" s="93"/>
      <c r="J16" s="94"/>
    </row>
    <row r="17" spans="2:10" ht="15" customHeight="1" x14ac:dyDescent="0.25">
      <c r="B17" s="91"/>
      <c r="C17" s="92"/>
      <c r="D17" s="47" t="s">
        <v>34</v>
      </c>
      <c r="E17" s="55" t="s">
        <v>1</v>
      </c>
      <c r="F17" s="55" t="s">
        <v>3</v>
      </c>
      <c r="G17" s="55" t="s">
        <v>123</v>
      </c>
      <c r="H17" s="55" t="s">
        <v>124</v>
      </c>
      <c r="I17" s="55" t="str">
        <f>I3</f>
        <v>Bartosz Supiński</v>
      </c>
      <c r="J17" s="94"/>
    </row>
    <row r="18" spans="2:10" ht="39.950000000000003" customHeight="1" x14ac:dyDescent="0.25">
      <c r="B18" s="91"/>
      <c r="C18" s="92">
        <v>52</v>
      </c>
      <c r="D18" s="43" t="s">
        <v>47</v>
      </c>
      <c r="E18" s="93" t="s">
        <v>77</v>
      </c>
      <c r="F18" s="93"/>
      <c r="G18" s="93"/>
      <c r="H18" s="93"/>
      <c r="I18" s="93"/>
      <c r="J18" s="94"/>
    </row>
    <row r="19" spans="2:10" ht="15" customHeight="1" x14ac:dyDescent="0.25">
      <c r="B19" s="91"/>
      <c r="C19" s="92"/>
      <c r="D19" s="47" t="s">
        <v>34</v>
      </c>
      <c r="E19" s="55" t="s">
        <v>1</v>
      </c>
      <c r="F19" s="55" t="s">
        <v>3</v>
      </c>
      <c r="G19" s="55" t="s">
        <v>123</v>
      </c>
      <c r="H19" s="55" t="s">
        <v>124</v>
      </c>
      <c r="I19" s="55" t="str">
        <f>I3</f>
        <v>Bartosz Supiński</v>
      </c>
      <c r="J19" s="94"/>
    </row>
    <row r="20" spans="2:10" ht="39.950000000000003" customHeight="1" x14ac:dyDescent="0.25">
      <c r="B20" s="91"/>
      <c r="C20" s="92">
        <v>53</v>
      </c>
      <c r="D20" s="43" t="s">
        <v>48</v>
      </c>
      <c r="E20" s="106" t="s">
        <v>78</v>
      </c>
      <c r="F20" s="106"/>
      <c r="G20" s="106"/>
      <c r="H20" s="106"/>
      <c r="I20" s="106"/>
      <c r="J20" s="94"/>
    </row>
    <row r="21" spans="2:10" ht="15" customHeight="1" x14ac:dyDescent="0.25">
      <c r="B21" s="91"/>
      <c r="C21" s="92"/>
      <c r="D21" s="47" t="s">
        <v>34</v>
      </c>
      <c r="E21" s="55" t="s">
        <v>1</v>
      </c>
      <c r="F21" s="55" t="s">
        <v>3</v>
      </c>
      <c r="G21" s="55" t="s">
        <v>123</v>
      </c>
      <c r="H21" s="55" t="s">
        <v>124</v>
      </c>
      <c r="I21" s="55" t="str">
        <f>I3</f>
        <v>Bartosz Supiński</v>
      </c>
      <c r="J21" s="94"/>
    </row>
    <row r="22" spans="2:10" ht="28.5" customHeight="1" x14ac:dyDescent="0.25">
      <c r="B22" s="91"/>
      <c r="C22" s="92">
        <v>54</v>
      </c>
      <c r="D22" s="43" t="s">
        <v>50</v>
      </c>
      <c r="E22" s="106" t="s">
        <v>75</v>
      </c>
      <c r="F22" s="106"/>
      <c r="G22" s="106"/>
      <c r="H22" s="106"/>
      <c r="I22" s="106"/>
      <c r="J22" s="94"/>
    </row>
    <row r="23" spans="2:10" ht="15" customHeight="1" x14ac:dyDescent="0.25">
      <c r="B23" s="91"/>
      <c r="C23" s="92"/>
      <c r="D23" s="47" t="s">
        <v>34</v>
      </c>
      <c r="E23" s="55" t="s">
        <v>1</v>
      </c>
      <c r="F23" s="55" t="s">
        <v>3</v>
      </c>
      <c r="G23" s="55" t="s">
        <v>123</v>
      </c>
      <c r="H23" s="55" t="str">
        <f>H21</f>
        <v>{{instructor_4_name}}</v>
      </c>
      <c r="I23" s="55" t="str">
        <f>I21</f>
        <v>Bartosz Supiński</v>
      </c>
      <c r="J23" s="94"/>
    </row>
    <row r="24" spans="2:10" ht="30.75" customHeight="1" x14ac:dyDescent="0.25">
      <c r="B24" s="91"/>
      <c r="C24" s="92">
        <v>55</v>
      </c>
      <c r="D24" s="43" t="s">
        <v>51</v>
      </c>
      <c r="E24" s="93" t="s">
        <v>75</v>
      </c>
      <c r="F24" s="93"/>
      <c r="G24" s="93"/>
      <c r="H24" s="93"/>
      <c r="I24" s="93"/>
      <c r="J24" s="94"/>
    </row>
    <row r="25" spans="2:10" ht="15" customHeight="1" x14ac:dyDescent="0.25">
      <c r="B25" s="91"/>
      <c r="C25" s="92"/>
      <c r="D25" s="47" t="s">
        <v>34</v>
      </c>
      <c r="E25" s="55" t="s">
        <v>1</v>
      </c>
      <c r="F25" s="55" t="s">
        <v>3</v>
      </c>
      <c r="G25" s="55" t="s">
        <v>123</v>
      </c>
      <c r="H25" s="55" t="s">
        <v>124</v>
      </c>
      <c r="I25" s="55" t="str">
        <f>I3</f>
        <v>Bartosz Supiński</v>
      </c>
      <c r="J25" s="94"/>
    </row>
    <row r="26" spans="2:10" ht="15" customHeight="1" x14ac:dyDescent="0.25">
      <c r="B26" s="6" t="s">
        <v>66</v>
      </c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E27" s="98"/>
      <c r="F27" s="98"/>
      <c r="G27" s="98"/>
      <c r="H27" s="98"/>
      <c r="I27" s="98"/>
      <c r="J27" s="49"/>
    </row>
    <row r="28" spans="2:10" ht="15" customHeight="1" x14ac:dyDescent="0.25">
      <c r="E28" s="98"/>
      <c r="F28" s="98"/>
      <c r="G28" s="98"/>
      <c r="H28" s="98"/>
      <c r="I28" s="98"/>
      <c r="J28" s="49"/>
    </row>
    <row r="29" spans="2:10" ht="15" customHeight="1" x14ac:dyDescent="0.25">
      <c r="E29" s="98"/>
      <c r="F29" s="98"/>
      <c r="G29" s="98"/>
      <c r="H29" s="98"/>
      <c r="I29" s="98"/>
      <c r="J29" s="49"/>
    </row>
    <row r="30" spans="2:10" ht="15" customHeight="1" x14ac:dyDescent="0.25">
      <c r="E30" s="98"/>
      <c r="F30" s="98"/>
      <c r="G30" s="98"/>
      <c r="H30" s="98"/>
      <c r="I30" s="98"/>
      <c r="J30" s="49"/>
    </row>
    <row r="31" spans="2:10" ht="15" customHeight="1" x14ac:dyDescent="0.25">
      <c r="C31" s="49"/>
      <c r="D31"/>
      <c r="J31"/>
    </row>
    <row r="32" spans="2:10" ht="15" customHeight="1" x14ac:dyDescent="0.25">
      <c r="C32" s="49"/>
      <c r="D32"/>
      <c r="J32"/>
    </row>
    <row r="33" spans="3:10" ht="15" customHeight="1" x14ac:dyDescent="0.25">
      <c r="C33" s="49"/>
      <c r="D33"/>
      <c r="J33"/>
    </row>
    <row r="34" spans="3:10" ht="15" customHeight="1" x14ac:dyDescent="0.25">
      <c r="C34" s="49"/>
      <c r="D34"/>
      <c r="J34"/>
    </row>
    <row r="35" spans="3:10" ht="15" customHeight="1" x14ac:dyDescent="0.25">
      <c r="J35" s="49"/>
    </row>
    <row r="36" spans="3:10" ht="15" customHeight="1" x14ac:dyDescent="0.25">
      <c r="J36" s="49"/>
    </row>
    <row r="37" spans="3:10" ht="15" customHeight="1" x14ac:dyDescent="0.25">
      <c r="J37" s="49"/>
    </row>
    <row r="38" spans="3:10" ht="15" customHeight="1" x14ac:dyDescent="0.25">
      <c r="J38" s="49"/>
    </row>
    <row r="39" spans="3:10" ht="15" customHeight="1" x14ac:dyDescent="0.25">
      <c r="J39" s="49"/>
    </row>
    <row r="40" spans="3:10" ht="15" customHeight="1" x14ac:dyDescent="0.25">
      <c r="J40" s="49"/>
    </row>
    <row r="41" spans="3:10" ht="15" customHeight="1" x14ac:dyDescent="0.25">
      <c r="J41" s="49"/>
    </row>
    <row r="42" spans="3:10" ht="15" customHeight="1" x14ac:dyDescent="0.25">
      <c r="J42" s="49"/>
    </row>
    <row r="43" spans="3:10" ht="15" customHeight="1" x14ac:dyDescent="0.25">
      <c r="J43" s="49"/>
    </row>
    <row r="44" spans="3:10" ht="15" customHeight="1" x14ac:dyDescent="0.25">
      <c r="J44" s="49"/>
    </row>
    <row r="45" spans="3:10" ht="15" customHeight="1" x14ac:dyDescent="0.25">
      <c r="J45" s="49"/>
    </row>
    <row r="46" spans="3:10" ht="15" customHeight="1" x14ac:dyDescent="0.25">
      <c r="J46" s="49"/>
    </row>
    <row r="47" spans="3:10" x14ac:dyDescent="0.25">
      <c r="J47" s="51"/>
    </row>
    <row r="48" spans="3:10" x14ac:dyDescent="0.25">
      <c r="J48" s="51"/>
    </row>
    <row r="49" spans="10:10" x14ac:dyDescent="0.25">
      <c r="J49" s="51"/>
    </row>
  </sheetData>
  <mergeCells count="31">
    <mergeCell ref="C16:C17"/>
    <mergeCell ref="E16:I16"/>
    <mergeCell ref="E27:I28"/>
    <mergeCell ref="E29:I30"/>
    <mergeCell ref="C20:C21"/>
    <mergeCell ref="E20:I20"/>
    <mergeCell ref="C22:C23"/>
    <mergeCell ref="E22:I22"/>
    <mergeCell ref="C24:C25"/>
    <mergeCell ref="E24:I24"/>
    <mergeCell ref="C12:C13"/>
    <mergeCell ref="E12:I12"/>
    <mergeCell ref="C14:C15"/>
    <mergeCell ref="D14:D15"/>
    <mergeCell ref="E14:I15"/>
    <mergeCell ref="B2:B25"/>
    <mergeCell ref="C2:C3"/>
    <mergeCell ref="E2:I2"/>
    <mergeCell ref="J3:J25"/>
    <mergeCell ref="C4:C5"/>
    <mergeCell ref="E4:I4"/>
    <mergeCell ref="C6:C7"/>
    <mergeCell ref="E6:I6"/>
    <mergeCell ref="E7:I7"/>
    <mergeCell ref="C8:C9"/>
    <mergeCell ref="C18:C19"/>
    <mergeCell ref="E18:I18"/>
    <mergeCell ref="E8:I8"/>
    <mergeCell ref="E9:I9"/>
    <mergeCell ref="C10:C11"/>
    <mergeCell ref="E10:I10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220C-15F2-4115-AA0A-9B26E82ADCB2}">
  <dimension ref="B1:J49"/>
  <sheetViews>
    <sheetView topLeftCell="B1" zoomScale="139" workbookViewId="0">
      <selection activeCell="E9" sqref="E9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5.7109375" hidden="1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22</v>
      </c>
      <c r="C1" s="42" t="s">
        <v>23</v>
      </c>
      <c r="D1" s="43" t="s">
        <v>24</v>
      </c>
      <c r="E1" s="43" t="s">
        <v>25</v>
      </c>
      <c r="F1" s="43" t="s">
        <v>26</v>
      </c>
      <c r="G1" s="43" t="s">
        <v>27</v>
      </c>
      <c r="H1" s="43" t="s">
        <v>28</v>
      </c>
      <c r="I1" s="43" t="s">
        <v>29</v>
      </c>
      <c r="J1" s="45" t="s">
        <v>30</v>
      </c>
    </row>
    <row r="2" spans="2:10" ht="39.950000000000003" customHeight="1" x14ac:dyDescent="0.25">
      <c r="B2" s="91" t="s">
        <v>131</v>
      </c>
      <c r="C2" s="92">
        <v>56</v>
      </c>
      <c r="D2" s="43" t="s">
        <v>79</v>
      </c>
      <c r="E2" s="93" t="s">
        <v>80</v>
      </c>
      <c r="F2" s="93"/>
      <c r="G2" s="93"/>
      <c r="H2" s="93"/>
      <c r="I2" s="93"/>
      <c r="J2" s="45" t="s">
        <v>33</v>
      </c>
    </row>
    <row r="3" spans="2:10" ht="15.75" customHeight="1" x14ac:dyDescent="0.25">
      <c r="B3" s="91"/>
      <c r="C3" s="92"/>
      <c r="D3" s="46" t="s">
        <v>34</v>
      </c>
      <c r="E3" s="54" t="s">
        <v>1</v>
      </c>
      <c r="F3" s="54" t="s">
        <v>3</v>
      </c>
      <c r="G3" s="54" t="s">
        <v>123</v>
      </c>
      <c r="H3" s="54" t="s">
        <v>124</v>
      </c>
      <c r="I3" s="54" t="str">
        <f>DANE_PODSTAWOWE!H5</f>
        <v>Bartosz Supiński</v>
      </c>
      <c r="J3" s="94" t="s">
        <v>132</v>
      </c>
    </row>
    <row r="4" spans="2:10" ht="16.5" customHeight="1" x14ac:dyDescent="0.25">
      <c r="B4" s="91"/>
      <c r="C4" s="92">
        <v>57</v>
      </c>
      <c r="D4" s="43" t="s">
        <v>81</v>
      </c>
      <c r="E4" s="93" t="s">
        <v>80</v>
      </c>
      <c r="F4" s="93"/>
      <c r="G4" s="93"/>
      <c r="H4" s="93"/>
      <c r="I4" s="93"/>
      <c r="J4" s="94"/>
    </row>
    <row r="5" spans="2:10" ht="15" customHeight="1" x14ac:dyDescent="0.25">
      <c r="B5" s="91"/>
      <c r="C5" s="92"/>
      <c r="D5" s="47" t="s">
        <v>34</v>
      </c>
      <c r="E5" s="55" t="s">
        <v>1</v>
      </c>
      <c r="F5" s="55" t="s">
        <v>3</v>
      </c>
      <c r="G5" s="55" t="s">
        <v>123</v>
      </c>
      <c r="H5" s="55" t="s">
        <v>124</v>
      </c>
      <c r="I5" s="55" t="str">
        <f>I3</f>
        <v>Bartosz Supiński</v>
      </c>
      <c r="J5" s="94"/>
    </row>
    <row r="6" spans="2:10" ht="15.75" customHeight="1" x14ac:dyDescent="0.25">
      <c r="B6" s="91"/>
      <c r="C6" s="92">
        <v>58</v>
      </c>
      <c r="D6" s="43" t="s">
        <v>82</v>
      </c>
      <c r="E6" s="93" t="s">
        <v>83</v>
      </c>
      <c r="F6" s="93"/>
      <c r="G6" s="93"/>
      <c r="H6" s="93"/>
      <c r="I6" s="93"/>
      <c r="J6" s="94"/>
    </row>
    <row r="7" spans="2:10" ht="15" customHeight="1" x14ac:dyDescent="0.25">
      <c r="B7" s="91"/>
      <c r="C7" s="92"/>
      <c r="D7" s="47" t="s">
        <v>34</v>
      </c>
      <c r="E7" s="55" t="s">
        <v>1</v>
      </c>
      <c r="F7" s="55" t="s">
        <v>3</v>
      </c>
      <c r="G7" s="55" t="s">
        <v>123</v>
      </c>
      <c r="H7" s="55" t="s">
        <v>124</v>
      </c>
      <c r="I7" s="55" t="str">
        <f>I3</f>
        <v>Bartosz Supiński</v>
      </c>
      <c r="J7" s="94"/>
    </row>
    <row r="8" spans="2:10" ht="39.950000000000003" customHeight="1" x14ac:dyDescent="0.25">
      <c r="B8" s="91"/>
      <c r="C8" s="92">
        <v>59</v>
      </c>
      <c r="D8" s="43" t="s">
        <v>84</v>
      </c>
      <c r="E8" s="93" t="s">
        <v>75</v>
      </c>
      <c r="F8" s="93"/>
      <c r="G8" s="93"/>
      <c r="H8" s="93"/>
      <c r="I8" s="93"/>
      <c r="J8" s="94"/>
    </row>
    <row r="9" spans="2:10" ht="15" customHeight="1" x14ac:dyDescent="0.25">
      <c r="B9" s="91"/>
      <c r="C9" s="92"/>
      <c r="D9" s="47" t="s">
        <v>34</v>
      </c>
      <c r="E9" s="55" t="s">
        <v>1</v>
      </c>
      <c r="F9" s="55" t="s">
        <v>3</v>
      </c>
      <c r="G9" s="55" t="s">
        <v>123</v>
      </c>
      <c r="H9" s="55" t="s">
        <v>124</v>
      </c>
      <c r="I9" s="55" t="str">
        <f>I3</f>
        <v>Bartosz Supiński</v>
      </c>
      <c r="J9" s="94"/>
    </row>
    <row r="10" spans="2:10" ht="20.100000000000001" customHeight="1" x14ac:dyDescent="0.25">
      <c r="B10" s="91"/>
      <c r="C10" s="92">
        <v>60</v>
      </c>
      <c r="D10" s="43" t="s">
        <v>85</v>
      </c>
      <c r="E10" s="93" t="s">
        <v>86</v>
      </c>
      <c r="F10" s="93"/>
      <c r="G10" s="93"/>
      <c r="H10" s="93"/>
      <c r="I10" s="93"/>
      <c r="J10" s="94"/>
    </row>
    <row r="11" spans="2:10" ht="15" customHeight="1" x14ac:dyDescent="0.25">
      <c r="B11" s="91"/>
      <c r="C11" s="92"/>
      <c r="D11" s="47" t="s">
        <v>34</v>
      </c>
      <c r="E11" s="55" t="s">
        <v>1</v>
      </c>
      <c r="F11" s="55" t="s">
        <v>3</v>
      </c>
      <c r="G11" s="55" t="s">
        <v>123</v>
      </c>
      <c r="H11" s="55" t="s">
        <v>124</v>
      </c>
      <c r="I11" s="55" t="str">
        <f>I3</f>
        <v>Bartosz Supiński</v>
      </c>
      <c r="J11" s="94"/>
    </row>
    <row r="12" spans="2:10" ht="15.75" customHeight="1" x14ac:dyDescent="0.25">
      <c r="B12" s="91"/>
      <c r="C12" s="92">
        <v>61</v>
      </c>
      <c r="D12" s="43" t="s">
        <v>87</v>
      </c>
      <c r="E12" s="93" t="s">
        <v>86</v>
      </c>
      <c r="F12" s="93"/>
      <c r="G12" s="93"/>
      <c r="H12" s="93"/>
      <c r="I12" s="93"/>
      <c r="J12" s="94"/>
    </row>
    <row r="13" spans="2:10" ht="13.5" customHeight="1" x14ac:dyDescent="0.25">
      <c r="B13" s="91"/>
      <c r="C13" s="92"/>
      <c r="D13" s="47" t="s">
        <v>34</v>
      </c>
      <c r="E13" s="55" t="s">
        <v>1</v>
      </c>
      <c r="F13" s="55" t="s">
        <v>3</v>
      </c>
      <c r="G13" s="55" t="s">
        <v>123</v>
      </c>
      <c r="H13" s="55" t="s">
        <v>124</v>
      </c>
      <c r="I13" s="55" t="str">
        <f>I3</f>
        <v>Bartosz Supiński</v>
      </c>
      <c r="J13" s="94"/>
    </row>
    <row r="14" spans="2:10" ht="15" customHeight="1" x14ac:dyDescent="0.25">
      <c r="B14" s="91"/>
      <c r="C14" s="95"/>
      <c r="D14" s="96" t="s">
        <v>88</v>
      </c>
      <c r="E14" s="97" t="s">
        <v>44</v>
      </c>
      <c r="F14" s="97"/>
      <c r="G14" s="97"/>
      <c r="H14" s="97"/>
      <c r="I14" s="97"/>
      <c r="J14" s="94"/>
    </row>
    <row r="15" spans="2:10" ht="15" customHeight="1" x14ac:dyDescent="0.25">
      <c r="B15" s="91"/>
      <c r="C15" s="95"/>
      <c r="D15" s="96"/>
      <c r="E15" s="97"/>
      <c r="F15" s="97"/>
      <c r="G15" s="97"/>
      <c r="H15" s="97"/>
      <c r="I15" s="97"/>
      <c r="J15" s="94"/>
    </row>
    <row r="16" spans="2:10" ht="20.100000000000001" customHeight="1" x14ac:dyDescent="0.25">
      <c r="B16" s="91"/>
      <c r="C16" s="92">
        <v>62</v>
      </c>
      <c r="D16" s="43" t="s">
        <v>89</v>
      </c>
      <c r="E16" s="93" t="s">
        <v>86</v>
      </c>
      <c r="F16" s="93"/>
      <c r="G16" s="93"/>
      <c r="H16" s="93"/>
      <c r="I16" s="93"/>
      <c r="J16" s="94"/>
    </row>
    <row r="17" spans="2:10" ht="15" customHeight="1" x14ac:dyDescent="0.25">
      <c r="B17" s="91"/>
      <c r="C17" s="92"/>
      <c r="D17" s="47" t="s">
        <v>34</v>
      </c>
      <c r="E17" s="55" t="s">
        <v>1</v>
      </c>
      <c r="F17" s="55" t="s">
        <v>3</v>
      </c>
      <c r="G17" s="55" t="s">
        <v>123</v>
      </c>
      <c r="H17" s="55" t="s">
        <v>124</v>
      </c>
      <c r="I17" s="55" t="str">
        <f>I3</f>
        <v>Bartosz Supiński</v>
      </c>
      <c r="J17" s="94"/>
    </row>
    <row r="18" spans="2:10" ht="20.100000000000001" customHeight="1" x14ac:dyDescent="0.25">
      <c r="B18" s="91"/>
      <c r="C18" s="92">
        <v>63</v>
      </c>
      <c r="D18" s="43" t="s">
        <v>90</v>
      </c>
      <c r="E18" s="93" t="s">
        <v>86</v>
      </c>
      <c r="F18" s="93"/>
      <c r="G18" s="93"/>
      <c r="H18" s="93"/>
      <c r="I18" s="93"/>
      <c r="J18" s="94"/>
    </row>
    <row r="19" spans="2:10" ht="15" customHeight="1" x14ac:dyDescent="0.25">
      <c r="B19" s="91"/>
      <c r="C19" s="92"/>
      <c r="D19" s="47" t="s">
        <v>34</v>
      </c>
      <c r="E19" s="55" t="s">
        <v>1</v>
      </c>
      <c r="F19" s="55" t="s">
        <v>3</v>
      </c>
      <c r="G19" s="55" t="s">
        <v>123</v>
      </c>
      <c r="H19" s="55" t="s">
        <v>124</v>
      </c>
      <c r="I19" s="55" t="str">
        <f>I3</f>
        <v>Bartosz Supiński</v>
      </c>
      <c r="J19" s="94"/>
    </row>
    <row r="20" spans="2:10" ht="20.100000000000001" customHeight="1" x14ac:dyDescent="0.25">
      <c r="B20" s="91"/>
      <c r="C20" s="92">
        <v>64</v>
      </c>
      <c r="D20" s="43" t="s">
        <v>91</v>
      </c>
      <c r="E20" s="93" t="s">
        <v>86</v>
      </c>
      <c r="F20" s="93"/>
      <c r="G20" s="93"/>
      <c r="H20" s="93"/>
      <c r="I20" s="93"/>
      <c r="J20" s="94"/>
    </row>
    <row r="21" spans="2:10" ht="15" customHeight="1" x14ac:dyDescent="0.25">
      <c r="B21" s="91"/>
      <c r="C21" s="92"/>
      <c r="D21" s="47" t="s">
        <v>34</v>
      </c>
      <c r="E21" s="55" t="s">
        <v>1</v>
      </c>
      <c r="F21" s="55" t="s">
        <v>3</v>
      </c>
      <c r="G21" s="55" t="s">
        <v>123</v>
      </c>
      <c r="H21" s="55" t="s">
        <v>124</v>
      </c>
      <c r="I21" s="55" t="str">
        <f>I3</f>
        <v>Bartosz Supiński</v>
      </c>
      <c r="J21" s="94"/>
    </row>
    <row r="22" spans="2:10" ht="20.100000000000001" customHeight="1" x14ac:dyDescent="0.25">
      <c r="B22" s="91"/>
      <c r="C22" s="92">
        <v>65</v>
      </c>
      <c r="D22" s="43" t="s">
        <v>92</v>
      </c>
      <c r="E22" s="93" t="s">
        <v>86</v>
      </c>
      <c r="F22" s="93"/>
      <c r="G22" s="93"/>
      <c r="H22" s="93"/>
      <c r="I22" s="93"/>
      <c r="J22" s="94"/>
    </row>
    <row r="23" spans="2:10" ht="15" customHeight="1" x14ac:dyDescent="0.25">
      <c r="B23" s="91"/>
      <c r="C23" s="92"/>
      <c r="D23" s="47" t="s">
        <v>34</v>
      </c>
      <c r="E23" s="55" t="s">
        <v>1</v>
      </c>
      <c r="F23" s="55" t="s">
        <v>3</v>
      </c>
      <c r="G23" s="55" t="s">
        <v>123</v>
      </c>
      <c r="H23" s="55" t="s">
        <v>124</v>
      </c>
      <c r="I23" s="55" t="str">
        <f>I3</f>
        <v>Bartosz Supiński</v>
      </c>
      <c r="J23" s="94"/>
    </row>
    <row r="24" spans="2:10" ht="20.100000000000001" customHeight="1" x14ac:dyDescent="0.25">
      <c r="B24" s="91"/>
      <c r="C24" s="92">
        <v>66</v>
      </c>
      <c r="D24" s="43" t="s">
        <v>93</v>
      </c>
      <c r="E24" s="93" t="s">
        <v>86</v>
      </c>
      <c r="F24" s="93"/>
      <c r="G24" s="93"/>
      <c r="H24" s="93"/>
      <c r="I24" s="93"/>
      <c r="J24" s="94"/>
    </row>
    <row r="25" spans="2:10" ht="15" customHeight="1" x14ac:dyDescent="0.25">
      <c r="B25" s="91"/>
      <c r="C25" s="92"/>
      <c r="D25" s="47" t="s">
        <v>34</v>
      </c>
      <c r="E25" s="55" t="s">
        <v>1</v>
      </c>
      <c r="F25" s="55" t="s">
        <v>3</v>
      </c>
      <c r="G25" s="55" t="s">
        <v>123</v>
      </c>
      <c r="H25" s="55" t="s">
        <v>124</v>
      </c>
      <c r="I25" s="55" t="str">
        <f>I3</f>
        <v>Bartosz Supiński</v>
      </c>
      <c r="J25" s="94"/>
    </row>
    <row r="26" spans="2:10" ht="15" customHeight="1" x14ac:dyDescent="0.25">
      <c r="B26" s="6"/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E27" s="98"/>
      <c r="F27" s="98"/>
      <c r="G27" s="98"/>
      <c r="H27" s="98"/>
      <c r="I27" s="98"/>
      <c r="J27" s="49"/>
    </row>
    <row r="28" spans="2:10" ht="15" customHeight="1" x14ac:dyDescent="0.25">
      <c r="E28" s="98"/>
      <c r="F28" s="98"/>
      <c r="G28" s="98"/>
      <c r="H28" s="98"/>
      <c r="I28" s="98"/>
      <c r="J28" s="49"/>
    </row>
    <row r="29" spans="2:10" ht="15" customHeight="1" x14ac:dyDescent="0.25">
      <c r="E29" s="98"/>
      <c r="F29" s="98"/>
      <c r="G29" s="98"/>
      <c r="H29" s="98"/>
      <c r="I29" s="98"/>
      <c r="J29" s="49"/>
    </row>
    <row r="30" spans="2:10" ht="15" customHeight="1" x14ac:dyDescent="0.25">
      <c r="E30" s="98"/>
      <c r="F30" s="98"/>
      <c r="G30" s="98"/>
      <c r="H30" s="98"/>
      <c r="I30" s="98"/>
      <c r="J30" s="49"/>
    </row>
    <row r="31" spans="2:10" ht="15" customHeight="1" x14ac:dyDescent="0.25">
      <c r="E31" s="50"/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10:10" ht="15" customHeight="1" x14ac:dyDescent="0.25">
      <c r="J33" s="49"/>
    </row>
    <row r="34" spans="10:10" ht="15" customHeight="1" x14ac:dyDescent="0.25">
      <c r="J34" s="49"/>
    </row>
    <row r="35" spans="10:10" ht="15" customHeight="1" x14ac:dyDescent="0.25">
      <c r="J35" s="49"/>
    </row>
    <row r="36" spans="10:10" ht="15" customHeight="1" x14ac:dyDescent="0.25">
      <c r="J36" s="49"/>
    </row>
    <row r="37" spans="10:10" ht="15" customHeight="1" x14ac:dyDescent="0.25">
      <c r="J37" s="49"/>
    </row>
    <row r="38" spans="10:10" ht="15" customHeight="1" x14ac:dyDescent="0.25">
      <c r="J38" s="49"/>
    </row>
    <row r="39" spans="10:10" ht="15" customHeight="1" x14ac:dyDescent="0.25">
      <c r="J39" s="49"/>
    </row>
    <row r="40" spans="10:10" ht="15" customHeight="1" x14ac:dyDescent="0.25">
      <c r="J40" s="49"/>
    </row>
    <row r="41" spans="10:10" ht="15" customHeight="1" x14ac:dyDescent="0.25">
      <c r="J41" s="49"/>
    </row>
    <row r="42" spans="10:10" ht="15" customHeight="1" x14ac:dyDescent="0.25">
      <c r="J42" s="49"/>
    </row>
    <row r="43" spans="10:10" ht="15" customHeight="1" x14ac:dyDescent="0.25">
      <c r="J43" s="49"/>
    </row>
    <row r="44" spans="10:10" ht="15" customHeight="1" x14ac:dyDescent="0.25">
      <c r="J44" s="49"/>
    </row>
    <row r="45" spans="10:10" ht="15" customHeight="1" x14ac:dyDescent="0.25">
      <c r="J45" s="49"/>
    </row>
    <row r="46" spans="10:10" ht="15" customHeight="1" x14ac:dyDescent="0.25">
      <c r="J46" s="49"/>
    </row>
    <row r="47" spans="10:10" x14ac:dyDescent="0.25">
      <c r="J47" s="51"/>
    </row>
    <row r="48" spans="10:10" x14ac:dyDescent="0.25">
      <c r="J48" s="51"/>
    </row>
    <row r="49" spans="10:10" x14ac:dyDescent="0.25">
      <c r="J49" s="51"/>
    </row>
  </sheetData>
  <mergeCells count="29">
    <mergeCell ref="E14:I15"/>
    <mergeCell ref="E29:I30"/>
    <mergeCell ref="C16:C17"/>
    <mergeCell ref="E16:I16"/>
    <mergeCell ref="C18:C19"/>
    <mergeCell ref="E18:I18"/>
    <mergeCell ref="C20:C21"/>
    <mergeCell ref="E20:I20"/>
    <mergeCell ref="C22:C23"/>
    <mergeCell ref="E22:I22"/>
    <mergeCell ref="C24:C25"/>
    <mergeCell ref="E24:I24"/>
    <mergeCell ref="E27:I28"/>
    <mergeCell ref="B2:B25"/>
    <mergeCell ref="C2:C3"/>
    <mergeCell ref="E2:I2"/>
    <mergeCell ref="J3:J25"/>
    <mergeCell ref="C4:C5"/>
    <mergeCell ref="E4:I4"/>
    <mergeCell ref="C6:C7"/>
    <mergeCell ref="E6:I6"/>
    <mergeCell ref="C8:C9"/>
    <mergeCell ref="E8:I8"/>
    <mergeCell ref="C10:C11"/>
    <mergeCell ref="E10:I10"/>
    <mergeCell ref="C12:C13"/>
    <mergeCell ref="E12:I12"/>
    <mergeCell ref="C14:C15"/>
    <mergeCell ref="D14:D15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B46C-287A-476C-8086-14EFA1D9E150}">
  <dimension ref="A1:N30"/>
  <sheetViews>
    <sheetView workbookViewId="0"/>
  </sheetViews>
  <sheetFormatPr defaultRowHeight="15" x14ac:dyDescent="0.25"/>
  <cols>
    <col min="1" max="1" width="9.140625" customWidth="1"/>
    <col min="2" max="2" width="12.140625" customWidth="1"/>
    <col min="3" max="6" width="9.140625" customWidth="1"/>
    <col min="7" max="7" width="9.85546875" bestFit="1" customWidth="1"/>
    <col min="8" max="8" width="9.140625" customWidth="1"/>
  </cols>
  <sheetData>
    <row r="1" spans="1:14" x14ac:dyDescent="0.25">
      <c r="A1" s="63"/>
      <c r="B1" s="115" t="s">
        <v>94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4" x14ac:dyDescent="0.25"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3" spans="1:14" x14ac:dyDescent="0.25">
      <c r="B3" s="116" t="s">
        <v>95</v>
      </c>
      <c r="C3" s="116"/>
      <c r="D3" s="116"/>
    </row>
    <row r="4" spans="1:14" ht="15.75" thickBot="1" x14ac:dyDescent="0.3">
      <c r="A4" s="64" t="s">
        <v>96</v>
      </c>
      <c r="B4" s="65" t="s">
        <v>97</v>
      </c>
      <c r="C4" s="66" t="s">
        <v>98</v>
      </c>
      <c r="D4" s="67" t="s">
        <v>99</v>
      </c>
      <c r="E4" s="67" t="s">
        <v>100</v>
      </c>
      <c r="F4" s="67" t="s">
        <v>101</v>
      </c>
      <c r="G4" s="67" t="s">
        <v>102</v>
      </c>
      <c r="H4" s="67" t="s">
        <v>103</v>
      </c>
      <c r="I4" s="67" t="s">
        <v>104</v>
      </c>
      <c r="J4" s="67" t="s">
        <v>105</v>
      </c>
      <c r="K4" s="67" t="s">
        <v>106</v>
      </c>
      <c r="L4" s="67" t="s">
        <v>107</v>
      </c>
      <c r="M4" s="68" t="s">
        <v>108</v>
      </c>
      <c r="N4" s="69" t="s">
        <v>109</v>
      </c>
    </row>
    <row r="5" spans="1:14" ht="15.75" x14ac:dyDescent="0.25">
      <c r="A5" s="70" t="s">
        <v>110</v>
      </c>
      <c r="B5" s="71">
        <f>DANE_PODSTAWOWE!B1</f>
        <v>46171</v>
      </c>
      <c r="C5" s="72">
        <v>1</v>
      </c>
      <c r="D5" s="73">
        <v>2</v>
      </c>
      <c r="E5" s="73">
        <v>3</v>
      </c>
      <c r="F5" s="73">
        <v>4</v>
      </c>
      <c r="G5" s="73">
        <v>5</v>
      </c>
      <c r="H5" s="73">
        <v>6</v>
      </c>
      <c r="I5" s="73">
        <v>7</v>
      </c>
      <c r="J5" s="73">
        <v>8</v>
      </c>
      <c r="K5" s="73">
        <v>9</v>
      </c>
      <c r="L5" s="73">
        <v>10</v>
      </c>
      <c r="M5" s="74">
        <v>11</v>
      </c>
      <c r="N5" s="75"/>
    </row>
    <row r="6" spans="1:14" ht="15.75" x14ac:dyDescent="0.25">
      <c r="A6" s="70" t="s">
        <v>111</v>
      </c>
      <c r="B6" s="71">
        <f>DANE_PODSTAWOWE!B2</f>
        <v>46172</v>
      </c>
      <c r="C6" s="76">
        <v>12</v>
      </c>
      <c r="D6" s="77">
        <v>13</v>
      </c>
      <c r="E6" s="77">
        <v>14</v>
      </c>
      <c r="F6" s="77">
        <v>15</v>
      </c>
      <c r="G6" s="77">
        <v>16</v>
      </c>
      <c r="H6" s="77">
        <v>17</v>
      </c>
      <c r="I6" s="77">
        <v>18</v>
      </c>
      <c r="J6" s="77">
        <v>19</v>
      </c>
      <c r="K6" s="77">
        <v>20</v>
      </c>
      <c r="L6" s="77">
        <v>21</v>
      </c>
      <c r="M6" s="78">
        <v>22</v>
      </c>
      <c r="N6" s="75"/>
    </row>
    <row r="7" spans="1:14" ht="15.75" x14ac:dyDescent="0.25">
      <c r="A7" s="70" t="s">
        <v>112</v>
      </c>
      <c r="B7" s="71">
        <f>DANE_PODSTAWOWE!B3</f>
        <v>46173</v>
      </c>
      <c r="C7" s="76">
        <v>23</v>
      </c>
      <c r="D7" s="77">
        <v>24</v>
      </c>
      <c r="E7" s="77">
        <v>25</v>
      </c>
      <c r="F7" s="77">
        <v>26</v>
      </c>
      <c r="G7" s="77">
        <v>27</v>
      </c>
      <c r="H7" s="77">
        <v>28</v>
      </c>
      <c r="I7" s="77">
        <v>29</v>
      </c>
      <c r="J7" s="77">
        <v>30</v>
      </c>
      <c r="K7" s="77">
        <v>31</v>
      </c>
      <c r="L7" s="77">
        <v>32</v>
      </c>
      <c r="M7" s="78">
        <v>33</v>
      </c>
      <c r="N7" s="75"/>
    </row>
    <row r="8" spans="1:14" ht="15.75" x14ac:dyDescent="0.25">
      <c r="A8" s="70" t="s">
        <v>113</v>
      </c>
      <c r="B8" s="71">
        <f>DANE_PODSTAWOWE!B4</f>
        <v>46178</v>
      </c>
      <c r="C8" s="76">
        <v>34</v>
      </c>
      <c r="D8" s="77">
        <v>35</v>
      </c>
      <c r="E8" s="77">
        <v>36</v>
      </c>
      <c r="F8" s="77">
        <v>37</v>
      </c>
      <c r="G8" s="77">
        <v>38</v>
      </c>
      <c r="H8" s="77">
        <v>39</v>
      </c>
      <c r="I8" s="77">
        <v>40</v>
      </c>
      <c r="J8" s="77">
        <v>41</v>
      </c>
      <c r="K8" s="77">
        <v>42</v>
      </c>
      <c r="L8" s="77">
        <v>43</v>
      </c>
      <c r="M8" s="78">
        <v>44</v>
      </c>
      <c r="N8" s="75"/>
    </row>
    <row r="9" spans="1:14" ht="15.75" x14ac:dyDescent="0.25">
      <c r="A9" s="70" t="s">
        <v>114</v>
      </c>
      <c r="B9" s="71">
        <f>DANE_PODSTAWOWE!B5</f>
        <v>46179</v>
      </c>
      <c r="C9" s="76">
        <v>45</v>
      </c>
      <c r="D9" s="77">
        <v>46</v>
      </c>
      <c r="E9" s="77">
        <v>47</v>
      </c>
      <c r="F9" s="77">
        <v>48</v>
      </c>
      <c r="G9" s="77">
        <v>49</v>
      </c>
      <c r="H9" s="77">
        <v>50</v>
      </c>
      <c r="I9" s="77">
        <v>51</v>
      </c>
      <c r="J9" s="77">
        <v>52</v>
      </c>
      <c r="K9" s="77">
        <v>53</v>
      </c>
      <c r="L9" s="77">
        <v>54</v>
      </c>
      <c r="M9" s="78">
        <v>55</v>
      </c>
      <c r="N9" s="75"/>
    </row>
    <row r="10" spans="1:14" ht="15.75" x14ac:dyDescent="0.25">
      <c r="A10" s="70" t="s">
        <v>115</v>
      </c>
      <c r="B10" s="71">
        <f>DANE_PODSTAWOWE!B6</f>
        <v>46180</v>
      </c>
      <c r="C10" s="79">
        <v>56</v>
      </c>
      <c r="D10" s="80">
        <v>57</v>
      </c>
      <c r="E10" s="80">
        <v>58</v>
      </c>
      <c r="F10" s="80">
        <v>59</v>
      </c>
      <c r="G10" s="80">
        <v>60</v>
      </c>
      <c r="H10" s="80">
        <v>61</v>
      </c>
      <c r="I10" s="80">
        <v>62</v>
      </c>
      <c r="J10" s="80">
        <v>63</v>
      </c>
      <c r="K10" s="80">
        <v>64</v>
      </c>
      <c r="L10" s="80">
        <v>65</v>
      </c>
      <c r="M10" s="81">
        <v>66</v>
      </c>
      <c r="N10" s="82"/>
    </row>
    <row r="11" spans="1:14" ht="15.75" x14ac:dyDescent="0.25">
      <c r="A11" s="83" t="s">
        <v>116</v>
      </c>
      <c r="B11" s="84">
        <f>B10</f>
        <v>46180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6" t="s">
        <v>117</v>
      </c>
    </row>
    <row r="13" spans="1:14" ht="15" customHeight="1" x14ac:dyDescent="0.25">
      <c r="A13" s="112" t="s">
        <v>118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</row>
    <row r="14" spans="1:14" x14ac:dyDescent="0.25">
      <c r="A14" s="112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</row>
    <row r="15" spans="1:14" x14ac:dyDescent="0.25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</row>
    <row r="16" spans="1:14" x14ac:dyDescent="0.25">
      <c r="A16" s="87"/>
      <c r="B16" s="87"/>
      <c r="C16" s="87"/>
      <c r="D16" s="87"/>
      <c r="E16" s="88"/>
      <c r="F16" s="88"/>
      <c r="G16" s="88"/>
      <c r="H16" s="88"/>
      <c r="I16" s="88"/>
      <c r="J16" s="88"/>
      <c r="K16" s="88"/>
      <c r="L16" s="88"/>
      <c r="M16" s="88"/>
      <c r="N16" s="88"/>
    </row>
    <row r="17" spans="1:14" x14ac:dyDescent="0.25">
      <c r="A17" s="87"/>
      <c r="B17" s="87"/>
      <c r="C17" s="87"/>
      <c r="D17" s="87"/>
      <c r="E17" s="88"/>
      <c r="F17" s="88"/>
      <c r="G17" s="89">
        <f>B5</f>
        <v>46171</v>
      </c>
      <c r="H17" s="113" t="s">
        <v>119</v>
      </c>
      <c r="I17" s="113"/>
      <c r="J17" s="113"/>
      <c r="K17" s="113"/>
      <c r="L17" s="113"/>
      <c r="M17" s="113"/>
      <c r="N17" s="113"/>
    </row>
    <row r="18" spans="1:14" x14ac:dyDescent="0.25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</row>
    <row r="19" spans="1:14" ht="15" customHeight="1" x14ac:dyDescent="0.25">
      <c r="A19" s="117" t="s">
        <v>120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</row>
    <row r="20" spans="1:14" x14ac:dyDescent="0.25">
      <c r="A20" s="117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</row>
    <row r="21" spans="1:14" x14ac:dyDescent="0.25">
      <c r="A21" s="90"/>
      <c r="B21" s="90"/>
      <c r="C21" s="90"/>
      <c r="D21" s="90"/>
      <c r="E21" s="90"/>
      <c r="F21" s="90"/>
      <c r="G21" s="89">
        <f>B5</f>
        <v>46171</v>
      </c>
      <c r="H21" s="113" t="s">
        <v>119</v>
      </c>
      <c r="I21" s="113"/>
      <c r="J21" s="113"/>
      <c r="K21" s="113"/>
      <c r="L21" s="113"/>
      <c r="M21" s="113"/>
      <c r="N21" s="113"/>
    </row>
    <row r="22" spans="1:14" ht="51" customHeight="1" x14ac:dyDescent="0.25">
      <c r="A22" s="112" t="s">
        <v>121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</row>
    <row r="23" spans="1:14" x14ac:dyDescent="0.25">
      <c r="A23" s="90"/>
      <c r="B23" s="90"/>
      <c r="C23" s="90"/>
      <c r="D23" s="90"/>
      <c r="E23" s="88"/>
      <c r="F23" s="88"/>
      <c r="G23" s="89">
        <f>B5</f>
        <v>46171</v>
      </c>
      <c r="H23" s="113" t="s">
        <v>119</v>
      </c>
      <c r="I23" s="113"/>
      <c r="J23" s="113"/>
      <c r="K23" s="113"/>
      <c r="L23" s="113"/>
      <c r="M23" s="113"/>
      <c r="N23" s="113"/>
    </row>
    <row r="24" spans="1:14" x14ac:dyDescent="0.25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</row>
    <row r="25" spans="1:14" ht="15" customHeight="1" x14ac:dyDescent="0.25">
      <c r="A25" s="114" t="s">
        <v>122</v>
      </c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</row>
    <row r="26" spans="1:14" x14ac:dyDescent="0.25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</row>
    <row r="27" spans="1:14" x14ac:dyDescent="0.25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</row>
    <row r="28" spans="1:14" x14ac:dyDescent="0.25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</row>
    <row r="29" spans="1:14" ht="50.25" customHeight="1" x14ac:dyDescent="0.25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</row>
    <row r="30" spans="1:14" x14ac:dyDescent="0.25">
      <c r="A30" s="88"/>
      <c r="B30" s="88"/>
      <c r="C30" s="88"/>
      <c r="D30" s="88"/>
      <c r="E30" s="88"/>
      <c r="F30" s="88"/>
      <c r="G30" s="89">
        <f>B5</f>
        <v>46171</v>
      </c>
      <c r="H30" s="113" t="s">
        <v>119</v>
      </c>
      <c r="I30" s="113"/>
      <c r="J30" s="113"/>
      <c r="K30" s="113"/>
      <c r="L30" s="113"/>
      <c r="M30" s="113"/>
      <c r="N30" s="113"/>
    </row>
  </sheetData>
  <mergeCells count="10">
    <mergeCell ref="A22:N22"/>
    <mergeCell ref="H23:N23"/>
    <mergeCell ref="A25:N29"/>
    <mergeCell ref="H30:N30"/>
    <mergeCell ref="B1:L2"/>
    <mergeCell ref="B3:D3"/>
    <mergeCell ref="A13:N15"/>
    <mergeCell ref="H17:N17"/>
    <mergeCell ref="A19:N20"/>
    <mergeCell ref="H21:N21"/>
  </mergeCells>
  <pageMargins left="0.70000000000000007" right="0.70000000000000007" top="0.75" bottom="0.75" header="0.30000000000000004" footer="0.30000000000000004"/>
  <pageSetup paperSize="0" scale="95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9</vt:i4>
      </vt:variant>
      <vt:variant>
        <vt:lpstr>Nazwane zakresy</vt:lpstr>
      </vt:variant>
      <vt:variant>
        <vt:i4>1</vt:i4>
      </vt:variant>
    </vt:vector>
  </HeadingPairs>
  <TitlesOfParts>
    <vt:vector size="10" baseType="lpstr">
      <vt:lpstr>DANE_PODSTAWOWE</vt:lpstr>
      <vt:lpstr>DANE_KURSANTÓW</vt:lpstr>
      <vt:lpstr>1</vt:lpstr>
      <vt:lpstr>2</vt:lpstr>
      <vt:lpstr>3</vt:lpstr>
      <vt:lpstr>4</vt:lpstr>
      <vt:lpstr>5</vt:lpstr>
      <vt:lpstr>6</vt:lpstr>
      <vt:lpstr>LISTA_OBECNOŚCI</vt:lpstr>
      <vt:lpstr>'1'!Obszar_wydruku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ŚWIERSZCZ</dc:creator>
  <cp:lastModifiedBy>Patryk Karpiński</cp:lastModifiedBy>
  <cp:lastPrinted>2026-05-21T11:23:51Z</cp:lastPrinted>
  <dcterms:created xsi:type="dcterms:W3CDTF">2023-04-27T15:24:19Z</dcterms:created>
  <dcterms:modified xsi:type="dcterms:W3CDTF">2026-08-03T06:07:56Z</dcterms:modified>
</cp:coreProperties>
</file>